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workbookPr codeName="ThisWorkbook" defaultThemeVersion="166925"/>
  <mc:AlternateContent xmlns:mc="http://schemas.openxmlformats.org/markup-compatibility/2006">
    <mc:Choice Requires="x15">
      <x15ac:absPath xmlns:x15ac="http://schemas.microsoft.com/office/spreadsheetml/2010/11/ac" url="/Users/jonathanbryant/Library/Mobile Documents/com~apple~CloudDocs/Development/Portfolio/Clinical Program Data Analysis/"/>
    </mc:Choice>
  </mc:AlternateContent>
  <xr:revisionPtr revIDLastSave="0" documentId="13_ncr:1_{3738BEF8-AD8A-0641-8267-46A12CA96A17}" xr6:coauthVersionLast="47" xr6:coauthVersionMax="47" xr10:uidLastSave="{00000000-0000-0000-0000-000000000000}"/>
  <bookViews>
    <workbookView xWindow="51200" yWindow="2780" windowWidth="32000" windowHeight="17500" xr2:uid="{00000000-000D-0000-FFFF-FFFF00000000}"/>
  </bookViews>
  <sheets>
    <sheet name="Home" sheetId="2" r:id="rId1"/>
    <sheet name="Combined BX Graphs" sheetId="3" r:id="rId2"/>
    <sheet name="RawData" sheetId="1" r:id="rId3"/>
  </sheets>
  <externalReferences>
    <externalReference r:id="rId4"/>
  </externalReferences>
  <definedNames>
    <definedName name="_xlnm._FilterDatabase" localSheetId="2" hidden="1">RawData!$A$1:$Q$1740</definedName>
    <definedName name="chart_Dates">INDEX(Dates,MATCH(Home!$A$7,Dates,0)):INDEX(Dates,MATCH(Home!$A$9,Dates,0))</definedName>
    <definedName name="chart_Duration">INDEX(Duration,MATCH(Home!$A$7,Dates,0)):INDEX(Duration,MATCH(Home!$A$9,Dates,0))</definedName>
    <definedName name="chart_Frequency">INDEX(Frequency,MATCH(Home!$A$7,Dates,0)):INDEX(Frequency,MATCH(Home!$A$9,Dates,0))</definedName>
    <definedName name="_xlnm.Criteria" localSheetId="2">RawData!$B$1:$B$50000</definedName>
    <definedName name="Dates">Home!$E$7:$E$501</definedName>
    <definedName name="Duration">Home!$G$7:$G$501</definedName>
    <definedName name="_xlnm.Extract" localSheetId="0">Home!#REF!</definedName>
    <definedName name="_xlnm.Extract" localSheetId="2">RawData!$S$1</definedName>
    <definedName name="First">RawData!#REF!</definedName>
    <definedName name="Fourth">RawData!$J$2:$J$1740</definedName>
    <definedName name="Frequency">Home!$F$7:$F$501</definedName>
    <definedName name="RawBehavior">RawData!$B$2:$B$1740</definedName>
    <definedName name="RawDataSet">RawData!$A$1:$Q$1740</definedName>
    <definedName name="Second">RawData!#REF!</definedName>
    <definedName name="Third">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1" i="2" l="1"/>
  <c r="X20" i="2"/>
  <c r="X19" i="2"/>
  <c r="X18" i="2"/>
  <c r="X17" i="2"/>
  <c r="X16" i="2"/>
  <c r="X15" i="2"/>
  <c r="X14" i="2"/>
  <c r="X13" i="2"/>
  <c r="X11" i="2"/>
  <c r="X10" i="2"/>
  <c r="X9" i="2"/>
  <c r="X8" i="2"/>
  <c r="X7" i="2"/>
  <c r="X6" i="2"/>
  <c r="L8" i="2"/>
  <c r="H91" i="2" a="1"/>
  <c r="H91" i="2" s="1"/>
  <c r="H92" i="2" a="1"/>
  <c r="H92" i="2" s="1"/>
  <c r="H93" i="2" a="1"/>
  <c r="H93" i="2" s="1"/>
  <c r="H94" i="2" a="1"/>
  <c r="H94" i="2" s="1"/>
  <c r="H95" i="2" a="1"/>
  <c r="H95" i="2" s="1"/>
  <c r="H96" i="2" a="1"/>
  <c r="H96" i="2" s="1"/>
  <c r="H97" i="2" a="1"/>
  <c r="H97" i="2" s="1"/>
  <c r="H98" i="2" a="1"/>
  <c r="H98" i="2" s="1"/>
  <c r="H99" i="2" a="1"/>
  <c r="H99" i="2" s="1"/>
  <c r="H100" i="2" a="1"/>
  <c r="H100" i="2" s="1"/>
  <c r="H101" i="2" a="1"/>
  <c r="H101" i="2" s="1"/>
  <c r="H102" i="2" a="1"/>
  <c r="H102" i="2" s="1"/>
  <c r="H103" i="2" a="1"/>
  <c r="H103" i="2" s="1"/>
  <c r="H104" i="2" a="1"/>
  <c r="H104" i="2" s="1"/>
  <c r="H105" i="2" a="1"/>
  <c r="H105" i="2" s="1"/>
  <c r="H106" i="2" a="1"/>
  <c r="H106" i="2" s="1"/>
  <c r="H107" i="2" a="1"/>
  <c r="H107" i="2" s="1"/>
  <c r="H108" i="2" a="1"/>
  <c r="H108" i="2" s="1"/>
  <c r="H109" i="2" a="1"/>
  <c r="H109" i="2" s="1"/>
  <c r="H110" i="2" a="1"/>
  <c r="H110" i="2" s="1"/>
  <c r="H111" i="2" a="1"/>
  <c r="H111" i="2" s="1"/>
  <c r="H112" i="2" a="1"/>
  <c r="H112" i="2" s="1"/>
  <c r="H113" i="2" a="1"/>
  <c r="H113" i="2" s="1"/>
  <c r="H114" i="2" a="1"/>
  <c r="H114" i="2" s="1"/>
  <c r="H115" i="2" a="1"/>
  <c r="H115" i="2" s="1"/>
  <c r="H116" i="2" a="1"/>
  <c r="H116" i="2" s="1"/>
  <c r="H117" i="2" a="1"/>
  <c r="H117" i="2" s="1"/>
  <c r="H118" i="2" a="1"/>
  <c r="H118" i="2" s="1"/>
  <c r="H119" i="2" a="1"/>
  <c r="H119" i="2" s="1"/>
  <c r="H120" i="2" a="1"/>
  <c r="H120" i="2" s="1"/>
  <c r="H121" i="2" a="1"/>
  <c r="H121" i="2" s="1"/>
  <c r="H122" i="2" a="1"/>
  <c r="H122" i="2" s="1"/>
  <c r="H123" i="2" a="1"/>
  <c r="H123" i="2" s="1"/>
  <c r="H124" i="2" a="1"/>
  <c r="H124" i="2" s="1"/>
  <c r="H125" i="2" a="1"/>
  <c r="H125" i="2" s="1"/>
  <c r="H126" i="2" a="1"/>
  <c r="H126" i="2" s="1"/>
  <c r="H127" i="2" a="1"/>
  <c r="H127" i="2" s="1"/>
  <c r="H128" i="2" a="1"/>
  <c r="H128" i="2" s="1"/>
  <c r="H129" i="2" a="1"/>
  <c r="H129" i="2" s="1"/>
  <c r="H130" i="2" a="1"/>
  <c r="H130" i="2" s="1"/>
  <c r="H131" i="2" a="1"/>
  <c r="H131" i="2" s="1"/>
  <c r="H132" i="2" a="1"/>
  <c r="H132" i="2" s="1"/>
  <c r="H133" i="2" a="1"/>
  <c r="H133" i="2" s="1"/>
  <c r="H134" i="2" a="1"/>
  <c r="H134" i="2" s="1"/>
  <c r="H135" i="2" a="1"/>
  <c r="H135" i="2" s="1"/>
  <c r="H136" i="2" a="1"/>
  <c r="H136" i="2" s="1"/>
  <c r="H137" i="2" a="1"/>
  <c r="H137" i="2" s="1"/>
  <c r="H138" i="2" a="1"/>
  <c r="H138" i="2" s="1"/>
  <c r="H139" i="2" a="1"/>
  <c r="H139" i="2" s="1"/>
  <c r="H140" i="2" a="1"/>
  <c r="H140" i="2" s="1"/>
  <c r="H141" i="2" a="1"/>
  <c r="H141" i="2" s="1"/>
  <c r="H142" i="2" a="1"/>
  <c r="H142" i="2" s="1"/>
  <c r="H143" i="2" a="1"/>
  <c r="H143" i="2" s="1"/>
  <c r="H144" i="2" a="1"/>
  <c r="H144" i="2" s="1"/>
  <c r="H145" i="2" a="1"/>
  <c r="H145" i="2" s="1"/>
  <c r="H146" i="2" a="1"/>
  <c r="H146" i="2" s="1"/>
  <c r="H147" i="2" a="1"/>
  <c r="H147" i="2" s="1"/>
  <c r="H148" i="2" a="1"/>
  <c r="H148" i="2" s="1"/>
  <c r="H149" i="2" a="1"/>
  <c r="H149" i="2" s="1"/>
  <c r="H150" i="2" a="1"/>
  <c r="H150" i="2" s="1"/>
  <c r="H151" i="2" a="1"/>
  <c r="H151" i="2" s="1"/>
  <c r="H152" i="2" a="1"/>
  <c r="H152" i="2" s="1"/>
  <c r="H153" i="2" a="1"/>
  <c r="H153" i="2" s="1"/>
  <c r="H154" i="2" a="1"/>
  <c r="H154" i="2" s="1"/>
  <c r="H155" i="2" a="1"/>
  <c r="H155" i="2" s="1"/>
  <c r="H156" i="2" a="1"/>
  <c r="H156" i="2" s="1"/>
  <c r="H157" i="2" a="1"/>
  <c r="H157" i="2" s="1"/>
  <c r="H158" i="2" a="1"/>
  <c r="H158" i="2" s="1"/>
  <c r="H159" i="2" a="1"/>
  <c r="H159" i="2" s="1"/>
  <c r="H160" i="2" a="1"/>
  <c r="H160" i="2" s="1"/>
  <c r="H161" i="2" a="1"/>
  <c r="H161" i="2" s="1"/>
  <c r="H162" i="2" a="1"/>
  <c r="H162" i="2" s="1"/>
  <c r="H163" i="2" a="1"/>
  <c r="H163" i="2" s="1"/>
  <c r="H164" i="2" a="1"/>
  <c r="H164" i="2" s="1"/>
  <c r="H165" i="2" a="1"/>
  <c r="H165" i="2" s="1"/>
  <c r="H166" i="2" a="1"/>
  <c r="H166" i="2" s="1"/>
  <c r="H167" i="2" a="1"/>
  <c r="H167" i="2" s="1"/>
  <c r="H168" i="2" a="1"/>
  <c r="H168" i="2" s="1"/>
  <c r="H169" i="2" a="1"/>
  <c r="H169" i="2" s="1"/>
  <c r="H170" i="2" a="1"/>
  <c r="H170" i="2" s="1"/>
  <c r="H171" i="2" a="1"/>
  <c r="H171" i="2" s="1"/>
  <c r="H172" i="2" a="1"/>
  <c r="H172" i="2" s="1"/>
  <c r="H173" i="2" a="1"/>
  <c r="H173" i="2" s="1"/>
  <c r="H174" i="2" a="1"/>
  <c r="H174" i="2" s="1"/>
  <c r="H175" i="2" a="1"/>
  <c r="H175" i="2" s="1"/>
  <c r="H176" i="2" a="1"/>
  <c r="H176" i="2" s="1"/>
  <c r="H177" i="2" a="1"/>
  <c r="H177" i="2" s="1"/>
  <c r="H178" i="2" a="1"/>
  <c r="H178" i="2" s="1"/>
  <c r="H179" i="2" a="1"/>
  <c r="H179" i="2" s="1"/>
  <c r="H180" i="2" a="1"/>
  <c r="H180" i="2" s="1"/>
  <c r="H181" i="2" a="1"/>
  <c r="H181" i="2" s="1"/>
  <c r="H182" i="2" a="1"/>
  <c r="H182" i="2" s="1"/>
  <c r="H183" i="2" a="1"/>
  <c r="H183" i="2" s="1"/>
  <c r="H184" i="2" a="1"/>
  <c r="H184" i="2" s="1"/>
  <c r="H185" i="2" a="1"/>
  <c r="H185" i="2" s="1"/>
  <c r="H186" i="2" a="1"/>
  <c r="H186" i="2" s="1"/>
  <c r="H187" i="2" a="1"/>
  <c r="H187" i="2" s="1"/>
  <c r="H188" i="2" a="1"/>
  <c r="H188" i="2" s="1"/>
  <c r="H189" i="2" a="1"/>
  <c r="H189" i="2" s="1"/>
  <c r="H190" i="2" a="1"/>
  <c r="H190" i="2" s="1"/>
  <c r="H191" i="2" a="1"/>
  <c r="H191" i="2" s="1"/>
  <c r="H192" i="2" a="1"/>
  <c r="H192" i="2" s="1"/>
  <c r="H193" i="2" a="1"/>
  <c r="H193" i="2" s="1"/>
  <c r="H194" i="2" a="1"/>
  <c r="H194" i="2" s="1"/>
  <c r="H195" i="2" a="1"/>
  <c r="H195" i="2" s="1"/>
  <c r="H196" i="2" a="1"/>
  <c r="H196" i="2" s="1"/>
  <c r="H197" i="2" a="1"/>
  <c r="H197" i="2" s="1"/>
  <c r="H198" i="2" a="1"/>
  <c r="H198" i="2" s="1"/>
  <c r="H199" i="2" a="1"/>
  <c r="H199" i="2" s="1"/>
  <c r="H200" i="2" a="1"/>
  <c r="H200" i="2" s="1"/>
  <c r="H201" i="2" a="1"/>
  <c r="H201" i="2" s="1"/>
  <c r="H202" i="2" a="1"/>
  <c r="H202" i="2" s="1"/>
  <c r="H203" i="2" a="1"/>
  <c r="H203" i="2" s="1"/>
  <c r="H204" i="2" a="1"/>
  <c r="H204" i="2" s="1"/>
  <c r="H205" i="2" a="1"/>
  <c r="H205" i="2" s="1"/>
  <c r="H206" i="2" a="1"/>
  <c r="H206" i="2" s="1"/>
  <c r="H207" i="2" a="1"/>
  <c r="H207" i="2" s="1"/>
  <c r="H208" i="2" a="1"/>
  <c r="H208" i="2" s="1"/>
  <c r="H209" i="2" a="1"/>
  <c r="H209" i="2" s="1"/>
  <c r="H210" i="2" a="1"/>
  <c r="H210" i="2" s="1"/>
  <c r="H211" i="2" a="1"/>
  <c r="H211" i="2" s="1"/>
  <c r="H212" i="2" a="1"/>
  <c r="H212" i="2" s="1"/>
  <c r="H213" i="2" a="1"/>
  <c r="H213" i="2" s="1"/>
  <c r="H214" i="2" a="1"/>
  <c r="H214" i="2" s="1"/>
  <c r="H215" i="2" a="1"/>
  <c r="H215" i="2" s="1"/>
  <c r="H216" i="2" a="1"/>
  <c r="H216" i="2" s="1"/>
  <c r="H217" i="2" a="1"/>
  <c r="H217" i="2" s="1"/>
  <c r="H218" i="2" a="1"/>
  <c r="H218" i="2" s="1"/>
  <c r="H219" i="2" a="1"/>
  <c r="H219" i="2" s="1"/>
  <c r="H220" i="2" a="1"/>
  <c r="H220" i="2" s="1"/>
  <c r="H221" i="2" a="1"/>
  <c r="H221" i="2" s="1"/>
  <c r="H222" i="2" a="1"/>
  <c r="H222" i="2" s="1"/>
  <c r="H223" i="2" a="1"/>
  <c r="H223" i="2" s="1"/>
  <c r="H224" i="2" a="1"/>
  <c r="H224" i="2" s="1"/>
  <c r="H225" i="2" a="1"/>
  <c r="H225" i="2" s="1"/>
  <c r="H226" i="2" a="1"/>
  <c r="H226" i="2" s="1"/>
  <c r="H227" i="2" a="1"/>
  <c r="H227" i="2" s="1"/>
  <c r="H228" i="2" a="1"/>
  <c r="H228" i="2" s="1"/>
  <c r="H229" i="2" a="1"/>
  <c r="H229" i="2" s="1"/>
  <c r="H230" i="2" a="1"/>
  <c r="H230" i="2" s="1"/>
  <c r="H231" i="2" a="1"/>
  <c r="H231" i="2" s="1"/>
  <c r="H232" i="2" a="1"/>
  <c r="H232" i="2" s="1"/>
  <c r="H233" i="2" a="1"/>
  <c r="H233" i="2" s="1"/>
  <c r="H234" i="2" a="1"/>
  <c r="H234" i="2" s="1"/>
  <c r="H235" i="2" a="1"/>
  <c r="H235" i="2" s="1"/>
  <c r="H236" i="2" a="1"/>
  <c r="H236" i="2" s="1"/>
  <c r="H237" i="2" a="1"/>
  <c r="H237" i="2" s="1"/>
  <c r="H238" i="2" a="1"/>
  <c r="H238" i="2" s="1"/>
  <c r="H239" i="2" a="1"/>
  <c r="H239" i="2" s="1"/>
  <c r="H240" i="2" a="1"/>
  <c r="H240" i="2" s="1"/>
  <c r="H241" i="2" a="1"/>
  <c r="H241" i="2" s="1"/>
  <c r="H242" i="2" a="1"/>
  <c r="H242" i="2" s="1"/>
  <c r="H243" i="2" a="1"/>
  <c r="H243" i="2" s="1"/>
  <c r="H244" i="2" a="1"/>
  <c r="H244" i="2" s="1"/>
  <c r="H245" i="2" a="1"/>
  <c r="H245" i="2" s="1"/>
  <c r="H246" i="2" a="1"/>
  <c r="H246" i="2" s="1"/>
  <c r="H247" i="2" a="1"/>
  <c r="H247" i="2" s="1"/>
  <c r="H248" i="2" a="1"/>
  <c r="H248" i="2" s="1"/>
  <c r="H249" i="2" a="1"/>
  <c r="H249" i="2" s="1"/>
  <c r="H250" i="2" a="1"/>
  <c r="H250" i="2" s="1"/>
  <c r="H251" i="2" a="1"/>
  <c r="H251" i="2" s="1"/>
  <c r="H252" i="2" a="1"/>
  <c r="H252" i="2" s="1"/>
  <c r="H253" i="2" a="1"/>
  <c r="H253" i="2" s="1"/>
  <c r="H254" i="2" a="1"/>
  <c r="H254" i="2" s="1"/>
  <c r="H255" i="2" a="1"/>
  <c r="H255" i="2" s="1"/>
  <c r="H256" i="2" a="1"/>
  <c r="H256" i="2" s="1"/>
  <c r="H257" i="2" a="1"/>
  <c r="H257" i="2" s="1"/>
  <c r="H258" i="2" a="1"/>
  <c r="H258" i="2" s="1"/>
  <c r="H259" i="2" a="1"/>
  <c r="H259" i="2" s="1"/>
  <c r="H260" i="2" a="1"/>
  <c r="H260" i="2" s="1"/>
  <c r="H261" i="2" a="1"/>
  <c r="H261" i="2" s="1"/>
  <c r="H262" i="2" a="1"/>
  <c r="H262" i="2" s="1"/>
  <c r="H263" i="2" a="1"/>
  <c r="H263" i="2" s="1"/>
  <c r="H264" i="2" a="1"/>
  <c r="H264" i="2" s="1"/>
  <c r="H265" i="2" a="1"/>
  <c r="H265" i="2" s="1"/>
  <c r="H266" i="2" a="1"/>
  <c r="H266" i="2" s="1"/>
  <c r="H267" i="2" a="1"/>
  <c r="H267" i="2" s="1"/>
  <c r="H268" i="2" a="1"/>
  <c r="H268" i="2" s="1"/>
  <c r="H269" i="2" a="1"/>
  <c r="H269" i="2" s="1"/>
  <c r="H270" i="2" a="1"/>
  <c r="H270" i="2" s="1"/>
  <c r="H271" i="2" a="1"/>
  <c r="H271" i="2" s="1"/>
  <c r="H272" i="2" a="1"/>
  <c r="H272" i="2" s="1"/>
  <c r="H273" i="2" a="1"/>
  <c r="H273" i="2" s="1"/>
  <c r="H274" i="2" a="1"/>
  <c r="H274" i="2" s="1"/>
  <c r="H275" i="2" a="1"/>
  <c r="H275" i="2" s="1"/>
  <c r="H276" i="2" a="1"/>
  <c r="H276" i="2" s="1"/>
  <c r="H277" i="2" a="1"/>
  <c r="H277" i="2" s="1"/>
  <c r="H278" i="2" a="1"/>
  <c r="H278" i="2" s="1"/>
  <c r="H279" i="2" a="1"/>
  <c r="H279" i="2" s="1"/>
  <c r="H280" i="2" a="1"/>
  <c r="H280" i="2" s="1"/>
  <c r="H281" i="2" a="1"/>
  <c r="H281" i="2" s="1"/>
  <c r="H282" i="2" a="1"/>
  <c r="H282" i="2" s="1"/>
  <c r="H283" i="2" a="1"/>
  <c r="H283" i="2" s="1"/>
  <c r="H284" i="2" a="1"/>
  <c r="H284" i="2" s="1"/>
  <c r="H285" i="2" a="1"/>
  <c r="H285" i="2" s="1"/>
  <c r="H286" i="2" a="1"/>
  <c r="H286" i="2" s="1"/>
  <c r="H287" i="2" a="1"/>
  <c r="H287" i="2" s="1"/>
  <c r="H288" i="2" a="1"/>
  <c r="H288" i="2" s="1"/>
  <c r="H289" i="2" a="1"/>
  <c r="H289" i="2" s="1"/>
  <c r="H290" i="2" a="1"/>
  <c r="H290" i="2" s="1"/>
  <c r="H291" i="2" a="1"/>
  <c r="H291" i="2" s="1"/>
  <c r="H292" i="2" a="1"/>
  <c r="H292" i="2" s="1"/>
  <c r="H293" i="2" a="1"/>
  <c r="H293" i="2" s="1"/>
  <c r="H294" i="2" a="1"/>
  <c r="H294" i="2" s="1"/>
  <c r="H295" i="2" a="1"/>
  <c r="H295" i="2" s="1"/>
  <c r="H296" i="2" a="1"/>
  <c r="H296" i="2" s="1"/>
  <c r="H297" i="2" a="1"/>
  <c r="H297" i="2" s="1"/>
  <c r="H298" i="2" a="1"/>
  <c r="H298" i="2" s="1"/>
  <c r="H299" i="2" a="1"/>
  <c r="H299" i="2" s="1"/>
  <c r="H300" i="2" a="1"/>
  <c r="H300" i="2" s="1"/>
  <c r="H301" i="2" a="1"/>
  <c r="H301" i="2" s="1"/>
  <c r="H302" i="2" a="1"/>
  <c r="H302" i="2" s="1"/>
  <c r="H303" i="2" a="1"/>
  <c r="H303" i="2" s="1"/>
  <c r="H304" i="2" a="1"/>
  <c r="H304" i="2" s="1"/>
  <c r="H305" i="2" a="1"/>
  <c r="H305" i="2" s="1"/>
  <c r="H306" i="2" a="1"/>
  <c r="H306" i="2" s="1"/>
  <c r="H307" i="2" a="1"/>
  <c r="H307" i="2" s="1"/>
  <c r="H308" i="2" a="1"/>
  <c r="H308" i="2" s="1"/>
  <c r="H309" i="2" a="1"/>
  <c r="H309" i="2" s="1"/>
  <c r="H310" i="2" a="1"/>
  <c r="H310" i="2" s="1"/>
  <c r="H311" i="2" a="1"/>
  <c r="H311" i="2" s="1"/>
  <c r="H312" i="2" a="1"/>
  <c r="H312" i="2" s="1"/>
  <c r="H313" i="2" a="1"/>
  <c r="H313" i="2" s="1"/>
  <c r="H314" i="2" a="1"/>
  <c r="H314" i="2" s="1"/>
  <c r="H315" i="2" a="1"/>
  <c r="H315" i="2" s="1"/>
  <c r="H316" i="2" a="1"/>
  <c r="H316" i="2" s="1"/>
  <c r="H317" i="2" a="1"/>
  <c r="H317" i="2" s="1"/>
  <c r="H318" i="2" a="1"/>
  <c r="H318" i="2" s="1"/>
  <c r="H319" i="2" a="1"/>
  <c r="H319" i="2" s="1"/>
  <c r="H320" i="2" a="1"/>
  <c r="H320" i="2" s="1"/>
  <c r="H321" i="2" a="1"/>
  <c r="H321" i="2" s="1"/>
  <c r="H322" i="2" a="1"/>
  <c r="H322" i="2" s="1"/>
  <c r="H323" i="2" a="1"/>
  <c r="H323" i="2" s="1"/>
  <c r="H324" i="2" a="1"/>
  <c r="H324" i="2" s="1"/>
  <c r="H325" i="2" a="1"/>
  <c r="H325" i="2" s="1"/>
  <c r="H326" i="2" a="1"/>
  <c r="H326" i="2" s="1"/>
  <c r="H327" i="2" a="1"/>
  <c r="H327" i="2" s="1"/>
  <c r="H328" i="2" a="1"/>
  <c r="H328" i="2" s="1"/>
  <c r="H329" i="2" a="1"/>
  <c r="H329" i="2" s="1"/>
  <c r="H330" i="2" a="1"/>
  <c r="H330" i="2" s="1"/>
  <c r="H331" i="2" a="1"/>
  <c r="H331" i="2" s="1"/>
  <c r="H332" i="2" a="1"/>
  <c r="H332" i="2" s="1"/>
  <c r="H333" i="2" a="1"/>
  <c r="H333" i="2" s="1"/>
  <c r="H334" i="2" a="1"/>
  <c r="H334" i="2" s="1"/>
  <c r="H335" i="2" a="1"/>
  <c r="H335" i="2" s="1"/>
  <c r="H336" i="2" a="1"/>
  <c r="H336" i="2" s="1"/>
  <c r="H337" i="2" a="1"/>
  <c r="H337" i="2" s="1"/>
  <c r="H338" i="2" a="1"/>
  <c r="H338" i="2" s="1"/>
  <c r="H339" i="2" a="1"/>
  <c r="H339" i="2" s="1"/>
  <c r="H340" i="2" a="1"/>
  <c r="H340" i="2" s="1"/>
  <c r="H341" i="2" a="1"/>
  <c r="H341" i="2" s="1"/>
  <c r="H342" i="2" a="1"/>
  <c r="H342" i="2" s="1"/>
  <c r="H343" i="2" a="1"/>
  <c r="H343" i="2" s="1"/>
  <c r="H344" i="2" a="1"/>
  <c r="H344" i="2" s="1"/>
  <c r="H345" i="2" a="1"/>
  <c r="H345" i="2" s="1"/>
  <c r="H346" i="2" a="1"/>
  <c r="H346" i="2" s="1"/>
  <c r="H347" i="2" a="1"/>
  <c r="H347" i="2" s="1"/>
  <c r="H348" i="2" a="1"/>
  <c r="H348" i="2" s="1"/>
  <c r="H349" i="2" a="1"/>
  <c r="H349" i="2" s="1"/>
  <c r="H350" i="2" a="1"/>
  <c r="H350" i="2" s="1"/>
  <c r="H351" i="2" a="1"/>
  <c r="H351" i="2" s="1"/>
  <c r="H352" i="2" a="1"/>
  <c r="H352" i="2" s="1"/>
  <c r="H353" i="2" a="1"/>
  <c r="H353" i="2" s="1"/>
  <c r="H354" i="2" a="1"/>
  <c r="H354" i="2" s="1"/>
  <c r="H355" i="2" a="1"/>
  <c r="H355" i="2" s="1"/>
  <c r="H356" i="2" a="1"/>
  <c r="H356" i="2" s="1"/>
  <c r="H357" i="2" a="1"/>
  <c r="H357" i="2" s="1"/>
  <c r="H358" i="2" a="1"/>
  <c r="H358" i="2" s="1"/>
  <c r="H359" i="2" a="1"/>
  <c r="H359" i="2" s="1"/>
  <c r="H360" i="2" a="1"/>
  <c r="H360" i="2" s="1"/>
  <c r="H361" i="2" a="1"/>
  <c r="H361" i="2" s="1"/>
  <c r="H362" i="2" a="1"/>
  <c r="H362" i="2" s="1"/>
  <c r="H363" i="2" a="1"/>
  <c r="H363" i="2" s="1"/>
  <c r="H364" i="2" a="1"/>
  <c r="H364" i="2" s="1"/>
  <c r="H365" i="2" a="1"/>
  <c r="H365" i="2" s="1"/>
  <c r="H366" i="2" a="1"/>
  <c r="H366" i="2" s="1"/>
  <c r="H367" i="2" a="1"/>
  <c r="H367" i="2" s="1"/>
  <c r="H368" i="2" a="1"/>
  <c r="H368" i="2" s="1"/>
  <c r="H369" i="2" a="1"/>
  <c r="H369" i="2" s="1"/>
  <c r="H370" i="2" a="1"/>
  <c r="H370" i="2" s="1"/>
  <c r="H371" i="2" a="1"/>
  <c r="H371" i="2" s="1"/>
  <c r="H372" i="2" a="1"/>
  <c r="H372" i="2" s="1"/>
  <c r="H373" i="2" a="1"/>
  <c r="H373" i="2" s="1"/>
  <c r="H374" i="2" a="1"/>
  <c r="H374" i="2" s="1"/>
  <c r="H375" i="2" a="1"/>
  <c r="H375" i="2" s="1"/>
  <c r="H376" i="2" a="1"/>
  <c r="H376" i="2" s="1"/>
  <c r="H377" i="2" a="1"/>
  <c r="H377" i="2" s="1"/>
  <c r="H378" i="2" a="1"/>
  <c r="H378" i="2" s="1"/>
  <c r="H379" i="2" a="1"/>
  <c r="H379" i="2" s="1"/>
  <c r="H380" i="2" a="1"/>
  <c r="H380" i="2" s="1"/>
  <c r="H381" i="2" a="1"/>
  <c r="H381" i="2" s="1"/>
  <c r="H382" i="2" a="1"/>
  <c r="H382" i="2" s="1"/>
  <c r="H383" i="2" a="1"/>
  <c r="H383" i="2" s="1"/>
  <c r="H384" i="2" a="1"/>
  <c r="H384" i="2" s="1"/>
  <c r="H385" i="2" a="1"/>
  <c r="H385" i="2" s="1"/>
  <c r="H386" i="2" a="1"/>
  <c r="H386" i="2" s="1"/>
  <c r="H387" i="2" a="1"/>
  <c r="H387" i="2" s="1"/>
  <c r="H388" i="2" a="1"/>
  <c r="H388" i="2" s="1"/>
  <c r="H389" i="2" a="1"/>
  <c r="H389" i="2" s="1"/>
  <c r="H390" i="2" a="1"/>
  <c r="H390" i="2" s="1"/>
  <c r="H391" i="2" a="1"/>
  <c r="H391" i="2" s="1"/>
  <c r="H392" i="2" a="1"/>
  <c r="H392" i="2" s="1"/>
  <c r="H393" i="2" a="1"/>
  <c r="H393" i="2" s="1"/>
  <c r="H394" i="2" a="1"/>
  <c r="H394" i="2" s="1"/>
  <c r="H395" i="2" a="1"/>
  <c r="H395" i="2" s="1"/>
  <c r="H396" i="2" a="1"/>
  <c r="H396" i="2" s="1"/>
  <c r="H397" i="2" a="1"/>
  <c r="H397" i="2" s="1"/>
  <c r="H398" i="2" a="1"/>
  <c r="H398" i="2" s="1"/>
  <c r="H399" i="2" a="1"/>
  <c r="H399" i="2" s="1"/>
  <c r="H400" i="2" a="1"/>
  <c r="H400" i="2" s="1"/>
  <c r="H401" i="2" a="1"/>
  <c r="H401" i="2" s="1"/>
  <c r="H402" i="2" a="1"/>
  <c r="H402" i="2" s="1"/>
  <c r="H403" i="2" a="1"/>
  <c r="H403" i="2" s="1"/>
  <c r="H404" i="2" a="1"/>
  <c r="H404" i="2" s="1"/>
  <c r="H405" i="2" a="1"/>
  <c r="H405" i="2" s="1"/>
  <c r="H406" i="2" a="1"/>
  <c r="H406" i="2" s="1"/>
  <c r="H407" i="2" a="1"/>
  <c r="H407" i="2" s="1"/>
  <c r="H408" i="2" a="1"/>
  <c r="H408" i="2" s="1"/>
  <c r="H409" i="2" a="1"/>
  <c r="H409" i="2" s="1"/>
  <c r="H410" i="2" a="1"/>
  <c r="H410" i="2" s="1"/>
  <c r="H411" i="2" a="1"/>
  <c r="H411" i="2" s="1"/>
  <c r="H412" i="2" a="1"/>
  <c r="H412" i="2" s="1"/>
  <c r="H413" i="2" a="1"/>
  <c r="H413" i="2" s="1"/>
  <c r="H414" i="2" a="1"/>
  <c r="H414" i="2" s="1"/>
  <c r="H415" i="2" a="1"/>
  <c r="H415" i="2" s="1"/>
  <c r="H416" i="2" a="1"/>
  <c r="H416" i="2" s="1"/>
  <c r="H417" i="2" a="1"/>
  <c r="H417" i="2" s="1"/>
  <c r="H418" i="2" a="1"/>
  <c r="H418" i="2" s="1"/>
  <c r="H419" i="2" a="1"/>
  <c r="H419" i="2" s="1"/>
  <c r="H420" i="2" a="1"/>
  <c r="H420" i="2" s="1"/>
  <c r="H421" i="2" a="1"/>
  <c r="H421" i="2" s="1"/>
  <c r="H422" i="2" a="1"/>
  <c r="H422" i="2" s="1"/>
  <c r="H423" i="2" a="1"/>
  <c r="H423" i="2" s="1"/>
  <c r="H424" i="2" a="1"/>
  <c r="H424" i="2" s="1"/>
  <c r="H425" i="2" a="1"/>
  <c r="H425" i="2" s="1"/>
  <c r="H426" i="2" a="1"/>
  <c r="H426" i="2" s="1"/>
  <c r="H427" i="2" a="1"/>
  <c r="H427" i="2" s="1"/>
  <c r="H428" i="2" a="1"/>
  <c r="H428" i="2" s="1"/>
  <c r="H429" i="2" a="1"/>
  <c r="H429" i="2" s="1"/>
  <c r="H430" i="2" a="1"/>
  <c r="H430" i="2" s="1"/>
  <c r="H431" i="2" a="1"/>
  <c r="H431" i="2" s="1"/>
  <c r="H432" i="2" a="1"/>
  <c r="H432" i="2" s="1"/>
  <c r="H433" i="2" a="1"/>
  <c r="H433" i="2" s="1"/>
  <c r="H434" i="2" a="1"/>
  <c r="H434" i="2" s="1"/>
  <c r="H435" i="2" a="1"/>
  <c r="H435" i="2" s="1"/>
  <c r="H436" i="2" a="1"/>
  <c r="H436" i="2" s="1"/>
  <c r="H437" i="2" a="1"/>
  <c r="H437" i="2" s="1"/>
  <c r="H438" i="2" a="1"/>
  <c r="H438" i="2" s="1"/>
  <c r="H439" i="2" a="1"/>
  <c r="H439" i="2" s="1"/>
  <c r="H440" i="2" a="1"/>
  <c r="H440" i="2" s="1"/>
  <c r="H441" i="2" a="1"/>
  <c r="H441" i="2" s="1"/>
  <c r="H442" i="2" a="1"/>
  <c r="H442" i="2" s="1"/>
  <c r="H443" i="2" a="1"/>
  <c r="H443" i="2" s="1"/>
  <c r="H444" i="2" a="1"/>
  <c r="H444" i="2" s="1"/>
  <c r="H445" i="2" a="1"/>
  <c r="H445" i="2" s="1"/>
  <c r="H446" i="2" a="1"/>
  <c r="H446" i="2" s="1"/>
  <c r="H447" i="2" a="1"/>
  <c r="H447" i="2" s="1"/>
  <c r="H448" i="2" a="1"/>
  <c r="H448" i="2" s="1"/>
  <c r="H449" i="2" a="1"/>
  <c r="H449" i="2" s="1"/>
  <c r="H450" i="2" a="1"/>
  <c r="H450" i="2" s="1"/>
  <c r="H451" i="2" a="1"/>
  <c r="H451" i="2" s="1"/>
  <c r="H452" i="2" a="1"/>
  <c r="H452" i="2" s="1"/>
  <c r="H453" i="2" a="1"/>
  <c r="H453" i="2" s="1"/>
  <c r="H454" i="2" a="1"/>
  <c r="H454" i="2" s="1"/>
  <c r="H455" i="2" a="1"/>
  <c r="H455" i="2" s="1"/>
  <c r="H456" i="2" a="1"/>
  <c r="H456" i="2" s="1"/>
  <c r="H457" i="2" a="1"/>
  <c r="H457" i="2" s="1"/>
  <c r="H458" i="2" a="1"/>
  <c r="H458" i="2" s="1"/>
  <c r="H459" i="2" a="1"/>
  <c r="H459" i="2" s="1"/>
  <c r="H460" i="2" a="1"/>
  <c r="H460" i="2" s="1"/>
  <c r="H461" i="2" a="1"/>
  <c r="H461" i="2" s="1"/>
  <c r="H462" i="2" a="1"/>
  <c r="H462" i="2" s="1"/>
  <c r="H463" i="2" a="1"/>
  <c r="H463" i="2" s="1"/>
  <c r="H464" i="2" a="1"/>
  <c r="H464" i="2" s="1"/>
  <c r="H465" i="2" a="1"/>
  <c r="H465" i="2" s="1"/>
  <c r="H466" i="2" a="1"/>
  <c r="H466" i="2" s="1"/>
  <c r="H467" i="2" a="1"/>
  <c r="H467" i="2" s="1"/>
  <c r="H468" i="2" a="1"/>
  <c r="H468" i="2" s="1"/>
  <c r="H469" i="2" a="1"/>
  <c r="H469" i="2" s="1"/>
  <c r="H470" i="2" a="1"/>
  <c r="H470" i="2" s="1"/>
  <c r="H471" i="2" a="1"/>
  <c r="H471" i="2" s="1"/>
  <c r="H472" i="2" a="1"/>
  <c r="H472" i="2" s="1"/>
  <c r="H473" i="2" a="1"/>
  <c r="H473" i="2" s="1"/>
  <c r="H474" i="2" a="1"/>
  <c r="H474" i="2" s="1"/>
  <c r="H475" i="2" a="1"/>
  <c r="H475" i="2" s="1"/>
  <c r="H476" i="2" a="1"/>
  <c r="H476" i="2" s="1"/>
  <c r="H477" i="2" a="1"/>
  <c r="H477" i="2" s="1"/>
  <c r="H478" i="2" a="1"/>
  <c r="H478" i="2" s="1"/>
  <c r="H479" i="2" a="1"/>
  <c r="H479" i="2" s="1"/>
  <c r="H480" i="2" a="1"/>
  <c r="H480" i="2" s="1"/>
  <c r="H481" i="2" a="1"/>
  <c r="H481" i="2" s="1"/>
  <c r="H482" i="2" a="1"/>
  <c r="H482" i="2" s="1"/>
  <c r="H483" i="2" a="1"/>
  <c r="H483" i="2" s="1"/>
  <c r="H484" i="2" a="1"/>
  <c r="H484" i="2" s="1"/>
  <c r="H485" i="2" a="1"/>
  <c r="H485" i="2" s="1"/>
  <c r="H486" i="2" a="1"/>
  <c r="H486" i="2" s="1"/>
  <c r="H487" i="2" a="1"/>
  <c r="H487" i="2" s="1"/>
  <c r="H488" i="2" a="1"/>
  <c r="H488" i="2" s="1"/>
  <c r="H489" i="2" a="1"/>
  <c r="H489" i="2" s="1"/>
  <c r="H490" i="2" a="1"/>
  <c r="H490" i="2" s="1"/>
  <c r="H491" i="2" a="1"/>
  <c r="H491" i="2" s="1"/>
  <c r="H492" i="2" a="1"/>
  <c r="H492" i="2" s="1"/>
  <c r="H493" i="2" a="1"/>
  <c r="H493" i="2" s="1"/>
  <c r="H494" i="2" a="1"/>
  <c r="H494" i="2" s="1"/>
  <c r="H495" i="2" a="1"/>
  <c r="H495" i="2" s="1"/>
  <c r="H496" i="2" a="1"/>
  <c r="H496" i="2" s="1"/>
  <c r="H497" i="2" a="1"/>
  <c r="H497" i="2" s="1"/>
  <c r="H498" i="2" a="1"/>
  <c r="H498" i="2" s="1"/>
  <c r="H499" i="2" a="1"/>
  <c r="H499" i="2" s="1"/>
  <c r="H500" i="2" a="1"/>
  <c r="H500" i="2" s="1"/>
  <c r="H501" i="2" a="1"/>
  <c r="H501" i="2" s="1"/>
  <c r="K6" i="2"/>
  <c r="J4" i="2"/>
  <c r="E4" i="2"/>
  <c r="E1"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7" i="2"/>
  <c r="J3" i="1"/>
  <c r="J4" i="1"/>
  <c r="J5" i="1"/>
  <c r="H7" i="2" s="1" a="1"/>
  <c r="H7" i="2" s="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2" i="1"/>
  <c r="H15" i="2" s="1" a="1"/>
  <c r="H15" i="2" s="1"/>
  <c r="H86" i="2" l="1" a="1"/>
  <c r="H86" i="2" s="1"/>
  <c r="H74" i="2" a="1"/>
  <c r="H74" i="2" s="1"/>
  <c r="H62" i="2" a="1"/>
  <c r="H62" i="2" s="1"/>
  <c r="H50" i="2" a="1"/>
  <c r="H50" i="2" s="1"/>
  <c r="H38" i="2" a="1"/>
  <c r="H38" i="2" s="1"/>
  <c r="H26" i="2" a="1"/>
  <c r="H26" i="2" s="1"/>
  <c r="H14" i="2" a="1"/>
  <c r="H14" i="2" s="1"/>
  <c r="H85" i="2" a="1"/>
  <c r="H85" i="2" s="1"/>
  <c r="H73" i="2" a="1"/>
  <c r="H73" i="2" s="1"/>
  <c r="H61" i="2" a="1"/>
  <c r="H61" i="2" s="1"/>
  <c r="H49" i="2" a="1"/>
  <c r="H49" i="2" s="1"/>
  <c r="H37" i="2" a="1"/>
  <c r="H37" i="2" s="1"/>
  <c r="H25" i="2" a="1"/>
  <c r="H25" i="2" s="1"/>
  <c r="H13" i="2" a="1"/>
  <c r="H13" i="2" s="1"/>
  <c r="H84" i="2" a="1"/>
  <c r="H84" i="2" s="1"/>
  <c r="H72" i="2" a="1"/>
  <c r="H72" i="2" s="1"/>
  <c r="H60" i="2" a="1"/>
  <c r="H60" i="2" s="1"/>
  <c r="H48" i="2" a="1"/>
  <c r="H48" i="2" s="1"/>
  <c r="H36" i="2" a="1"/>
  <c r="H36" i="2" s="1"/>
  <c r="H24" i="2" a="1"/>
  <c r="H24" i="2" s="1"/>
  <c r="H12" i="2" a="1"/>
  <c r="H12" i="2" s="1"/>
  <c r="H83" i="2" a="1"/>
  <c r="H83" i="2" s="1"/>
  <c r="H71" i="2" a="1"/>
  <c r="H71" i="2" s="1"/>
  <c r="H59" i="2" a="1"/>
  <c r="H59" i="2" s="1"/>
  <c r="H47" i="2" a="1"/>
  <c r="H47" i="2" s="1"/>
  <c r="H35" i="2" a="1"/>
  <c r="H35" i="2" s="1"/>
  <c r="H23" i="2" a="1"/>
  <c r="H23" i="2" s="1"/>
  <c r="H11" i="2" a="1"/>
  <c r="H11" i="2" s="1"/>
  <c r="H82" i="2" a="1"/>
  <c r="H82" i="2" s="1"/>
  <c r="H70" i="2" a="1"/>
  <c r="H70" i="2" s="1"/>
  <c r="H58" i="2" a="1"/>
  <c r="H58" i="2" s="1"/>
  <c r="H46" i="2" a="1"/>
  <c r="H46" i="2" s="1"/>
  <c r="H34" i="2" a="1"/>
  <c r="H34" i="2" s="1"/>
  <c r="H22" i="2" a="1"/>
  <c r="H22" i="2" s="1"/>
  <c r="H10" i="2" a="1"/>
  <c r="H10" i="2" s="1"/>
  <c r="H81" i="2" a="1"/>
  <c r="H81" i="2" s="1"/>
  <c r="H69" i="2" a="1"/>
  <c r="H69" i="2" s="1"/>
  <c r="H57" i="2" a="1"/>
  <c r="H57" i="2" s="1"/>
  <c r="H45" i="2" a="1"/>
  <c r="H45" i="2" s="1"/>
  <c r="H33" i="2" a="1"/>
  <c r="H33" i="2" s="1"/>
  <c r="H21" i="2" a="1"/>
  <c r="H21" i="2" s="1"/>
  <c r="H9" i="2" a="1"/>
  <c r="H9" i="2" s="1"/>
  <c r="H80" i="2" a="1"/>
  <c r="H80" i="2" s="1"/>
  <c r="H68" i="2" a="1"/>
  <c r="H68" i="2" s="1"/>
  <c r="H56" i="2" a="1"/>
  <c r="H56" i="2" s="1"/>
  <c r="H44" i="2" a="1"/>
  <c r="H44" i="2" s="1"/>
  <c r="H32" i="2" a="1"/>
  <c r="H32" i="2" s="1"/>
  <c r="H20" i="2" a="1"/>
  <c r="H20" i="2" s="1"/>
  <c r="H8" i="2" a="1"/>
  <c r="H8" i="2" s="1"/>
  <c r="H79" i="2" a="1"/>
  <c r="H79" i="2" s="1"/>
  <c r="H67" i="2" a="1"/>
  <c r="H67" i="2" s="1"/>
  <c r="H55" i="2" a="1"/>
  <c r="H55" i="2" s="1"/>
  <c r="H43" i="2" a="1"/>
  <c r="H43" i="2" s="1"/>
  <c r="H31" i="2" a="1"/>
  <c r="H31" i="2" s="1"/>
  <c r="H19" i="2" a="1"/>
  <c r="H19" i="2" s="1"/>
  <c r="H90" i="2" a="1"/>
  <c r="H90" i="2" s="1"/>
  <c r="H78" i="2" a="1"/>
  <c r="H78" i="2" s="1"/>
  <c r="H66" i="2" a="1"/>
  <c r="H66" i="2" s="1"/>
  <c r="H54" i="2" a="1"/>
  <c r="H54" i="2" s="1"/>
  <c r="H42" i="2" a="1"/>
  <c r="H42" i="2" s="1"/>
  <c r="H30" i="2" a="1"/>
  <c r="H30" i="2" s="1"/>
  <c r="H18" i="2" a="1"/>
  <c r="H18" i="2" s="1"/>
  <c r="H89" i="2" a="1"/>
  <c r="H89" i="2" s="1"/>
  <c r="H77" i="2" a="1"/>
  <c r="H77" i="2" s="1"/>
  <c r="H65" i="2" a="1"/>
  <c r="H65" i="2" s="1"/>
  <c r="H53" i="2" a="1"/>
  <c r="H53" i="2" s="1"/>
  <c r="H41" i="2" a="1"/>
  <c r="H41" i="2" s="1"/>
  <c r="H29" i="2" a="1"/>
  <c r="H29" i="2" s="1"/>
  <c r="H17" i="2" a="1"/>
  <c r="H17" i="2" s="1"/>
  <c r="H88" i="2" a="1"/>
  <c r="H88" i="2" s="1"/>
  <c r="H76" i="2" a="1"/>
  <c r="H76" i="2" s="1"/>
  <c r="H64" i="2" a="1"/>
  <c r="H64" i="2" s="1"/>
  <c r="H52" i="2" a="1"/>
  <c r="H52" i="2" s="1"/>
  <c r="H40" i="2" a="1"/>
  <c r="H40" i="2" s="1"/>
  <c r="H28" i="2" a="1"/>
  <c r="H28" i="2" s="1"/>
  <c r="H16" i="2" a="1"/>
  <c r="H16" i="2" s="1"/>
  <c r="H87" i="2" a="1"/>
  <c r="H87" i="2" s="1"/>
  <c r="H75" i="2" a="1"/>
  <c r="H75" i="2" s="1"/>
  <c r="H63" i="2" a="1"/>
  <c r="H63" i="2" s="1"/>
  <c r="H51" i="2" a="1"/>
  <c r="H51" i="2" s="1"/>
  <c r="H39" i="2" a="1"/>
  <c r="H39" i="2" s="1"/>
  <c r="H27" i="2" a="1"/>
  <c r="H27" i="2" s="1"/>
  <c r="Y13" i="2"/>
  <c r="Y6" i="2"/>
  <c r="Y17" i="2"/>
  <c r="Y18" i="2"/>
  <c r="Y19" i="2"/>
  <c r="Y7" i="2"/>
  <c r="Y20" i="2"/>
  <c r="Y8" i="2"/>
  <c r="Y21" i="2"/>
  <c r="Y9" i="2"/>
  <c r="Y10" i="2"/>
  <c r="Y11" i="2"/>
  <c r="Y14" i="2"/>
  <c r="Y15" i="2"/>
  <c r="Y16" i="2"/>
  <c r="L12" i="2"/>
  <c r="J8" i="2"/>
  <c r="L9" i="2"/>
  <c r="L11" i="2"/>
  <c r="L10" i="2" l="1"/>
  <c r="L16" i="2" s="1"/>
  <c r="L15" i="2"/>
  <c r="L13" i="2"/>
  <c r="L14" i="2" l="1"/>
</calcChain>
</file>

<file path=xl/sharedStrings.xml><?xml version="1.0" encoding="utf-8"?>
<sst xmlns="http://schemas.openxmlformats.org/spreadsheetml/2006/main" count="12531" uniqueCount="223">
  <si>
    <t>Client Name</t>
  </si>
  <si>
    <t>Behavior Name</t>
  </si>
  <si>
    <t>Behavior Type Name</t>
  </si>
  <si>
    <t>Observation Time</t>
  </si>
  <si>
    <t>In Session</t>
  </si>
  <si>
    <t>Session Name</t>
  </si>
  <si>
    <t>Session Start Time</t>
  </si>
  <si>
    <t>Session End Time</t>
  </si>
  <si>
    <t>User Name</t>
  </si>
  <si>
    <t>Behavior Value</t>
  </si>
  <si>
    <t>Observed Count</t>
  </si>
  <si>
    <t>Observation Duration</t>
  </si>
  <si>
    <t>Behavior Antecedent Name and Detail</t>
  </si>
  <si>
    <t>Behavior Consequence Name and Detail</t>
  </si>
  <si>
    <t>Narrative</t>
  </si>
  <si>
    <t>Body tense</t>
  </si>
  <si>
    <t>Frequency</t>
  </si>
  <si>
    <t>Yes</t>
  </si>
  <si>
    <t>Ad hoc Session at 8:38 AM</t>
  </si>
  <si>
    <t xml:space="preserve">Narrative: _x000D_
Severity: _x000D_
Notes: _x000D_
</t>
  </si>
  <si>
    <t>Ad hoc Session at 8:35 AM</t>
  </si>
  <si>
    <t>Ad hoc Session at 2:22 PM</t>
  </si>
  <si>
    <t>Ad hoc Session at 8:46 AM</t>
  </si>
  <si>
    <t>Ad hoc Session at 1:36 PM</t>
  </si>
  <si>
    <t>Ad hoc Session at 8:34 AM</t>
  </si>
  <si>
    <t>Ad hoc Session at 1:32 PM</t>
  </si>
  <si>
    <t>Ad hoc Session at 8:36 AM</t>
  </si>
  <si>
    <t>Ad hoc Session at 8:37 AM</t>
  </si>
  <si>
    <t>Ad hoc Session at 2:06 PM</t>
  </si>
  <si>
    <t>Ad hoc Session at 8:52 AM</t>
  </si>
  <si>
    <t>Ad hoc Session at 2:04 PM</t>
  </si>
  <si>
    <t>Ad hoc Session at 8:32 AM</t>
  </si>
  <si>
    <t>Ad hoc Session at 8:39 AM</t>
  </si>
  <si>
    <t>Ad hoc Session at 1:31 PM</t>
  </si>
  <si>
    <t>Ad hoc Session at 1:30 PM</t>
  </si>
  <si>
    <t>Ad hoc Session at 12:51 PM</t>
  </si>
  <si>
    <t>Ad hoc Session at 8:57 AM</t>
  </si>
  <si>
    <t>Ad hoc Session at 12:47 PM</t>
  </si>
  <si>
    <t>Ad hoc Session at 8:33 AM</t>
  </si>
  <si>
    <t>Ad hoc Session at 9:02 AM</t>
  </si>
  <si>
    <t>Ad hoc Session at 12:54 PM</t>
  </si>
  <si>
    <t>Ad hoc Session at 8:31 AM</t>
  </si>
  <si>
    <t>Ad hoc Session at 12:48 PM</t>
  </si>
  <si>
    <t>Ad hoc Session at 9:08 AM</t>
  </si>
  <si>
    <t>Ad hoc Session at 9:00 AM</t>
  </si>
  <si>
    <t>Ad hoc Session at 12:53 PM</t>
  </si>
  <si>
    <t>Ad hoc Session at 9:03 AM</t>
  </si>
  <si>
    <t>Ad hoc Session at 9:05 AM</t>
  </si>
  <si>
    <t>Ad hoc Session at 12:56 PM</t>
  </si>
  <si>
    <t>Ad hoc Session at 3:21 PM</t>
  </si>
  <si>
    <t>Ad hoc Session at 9:18 AM</t>
  </si>
  <si>
    <t>Ad hoc Session at 1:17 PM</t>
  </si>
  <si>
    <t>Ad hoc Session at 9:10 AM</t>
  </si>
  <si>
    <t>Ad hoc Session at 9:04 AM</t>
  </si>
  <si>
    <t>Ad hoc Session at 12:49 PM</t>
  </si>
  <si>
    <t>Ad hoc Session at 9:11 AM</t>
  </si>
  <si>
    <t>Ad hoc Session at 1:03 PM</t>
  </si>
  <si>
    <t>Ad hoc Session at 12:57 PM</t>
  </si>
  <si>
    <t>Ad hoc Session at 12:59 PM</t>
  </si>
  <si>
    <t>Ad hoc Session at 12:52 PM</t>
  </si>
  <si>
    <t>Ad hoc Session at 1:04 PM</t>
  </si>
  <si>
    <t>Ad hoc Session at 8:58 AM</t>
  </si>
  <si>
    <t>Ad hoc Session at 12:44 PM</t>
  </si>
  <si>
    <t>Ad hoc Session at 9:01 AM</t>
  </si>
  <si>
    <t>Ad hoc Session at 9:07 AM</t>
  </si>
  <si>
    <t>Ad hoc Session at 1:00 PM</t>
  </si>
  <si>
    <t>Ad hoc Session at 12:19 PM</t>
  </si>
  <si>
    <t>Ad hoc Session at 12:18 PM</t>
  </si>
  <si>
    <t>Ad hoc Session at 1:06 PM</t>
  </si>
  <si>
    <t>Ad hoc Session at 12:58 PM</t>
  </si>
  <si>
    <t>Ad hoc Session at 12:50 PM</t>
  </si>
  <si>
    <t>Ad hoc Session at 9:14 AM</t>
  </si>
  <si>
    <t>Ad hoc Session at 8:56 AM</t>
  </si>
  <si>
    <t>Ad hoc Session at 9:32 AM</t>
  </si>
  <si>
    <t>Ad hoc Session at 1:02 PM</t>
  </si>
  <si>
    <t>Ad hoc Session at 3:29 PM</t>
  </si>
  <si>
    <t>Ad hoc Session at 8:53 AM</t>
  </si>
  <si>
    <t>Ad hoc Session at 8:06 AM</t>
  </si>
  <si>
    <t>Ad hoc Session at 8:59 AM</t>
  </si>
  <si>
    <t>Ad hoc Session at 12:43 PM</t>
  </si>
  <si>
    <t>Ad hoc Session at 9:15 AM</t>
  </si>
  <si>
    <t>Ad hoc Session at 8:18 AM</t>
  </si>
  <si>
    <t>Ad hoc Session at 1:11 PM</t>
  </si>
  <si>
    <t>Ad hoc Session at 12:42 PM</t>
  </si>
  <si>
    <t>Ad hoc Session at 12:55 PM</t>
  </si>
  <si>
    <t>Activity Ends</t>
  </si>
  <si>
    <t>Ignored</t>
  </si>
  <si>
    <t>Covering Ears</t>
  </si>
  <si>
    <t>Transition</t>
  </si>
  <si>
    <t>Redirect to Work Task</t>
  </si>
  <si>
    <t>Crying</t>
  </si>
  <si>
    <t>Duration</t>
  </si>
  <si>
    <t xml:space="preserve">Narrative: Crying coming back from last break. BT modeled functional play and introduced new reinforcers._x000D_
Severity: _x000D_
Notes: _x000D_
</t>
  </si>
  <si>
    <t>Unknown</t>
  </si>
  <si>
    <t xml:space="preserve">Narrative: Unknown for the crying_x000D_
Severity: _x000D_
Notes: _x000D_
</t>
  </si>
  <si>
    <t xml:space="preserve">Narrative: Crying from break time._x000D_
Severity: _x000D_
Notes: _x000D_
</t>
  </si>
  <si>
    <t xml:space="preserve">Narrative: _x000D_
Severity: _x000D_
Notes: Parent came about 25 min late._x000D_
</t>
  </si>
  <si>
    <t xml:space="preserve">Narrative: Outside break, won’t share toy with friend._x000D_
Severity: _x000D_
Notes: _x000D_
</t>
  </si>
  <si>
    <t xml:space="preserve">Narrative: Transitioned from outside to inside._x000D_
Severity: _x000D_
Notes: _x000D_
</t>
  </si>
  <si>
    <t xml:space="preserve">Narrative: Transition from work to mini break. Started crying about 1 min later._x000D_
Severity: _x000D_
Notes: _x000D_
</t>
  </si>
  <si>
    <t>Ad hoc Session at 9:20 AM</t>
  </si>
  <si>
    <t>Ad hoc Session at 11:49 AM</t>
  </si>
  <si>
    <t>Given Demand</t>
  </si>
  <si>
    <t>Access Denied</t>
  </si>
  <si>
    <t xml:space="preserve">Narrative: Came into room and had to change diaper. Cry when changing diaper and redirecting not touching self._x000D_
Severity: _x000D_
Notes: _x000D_
</t>
  </si>
  <si>
    <t xml:space="preserve">Narrative: N was trying to walk away, bt blocked, ignored then we went back to room_x000D_
Severity: _x000D_
Notes: _x000D_
</t>
  </si>
  <si>
    <t>Ad hoc Session at 1:20 PM</t>
  </si>
  <si>
    <t xml:space="preserve">Narrative: Bt gave demand to sit in chair. Client cried. Bt ignored and followed through with having client sit in chair._x000D_
Severity: _x000D_
Notes: _x000D_
</t>
  </si>
  <si>
    <t xml:space="preserve">Narrative: Given demand to first work then play. Escaped from work area and when bt was following through with bringing back to table and working client cried. Bt ignored and followed through._x000D_
Severity: _x000D_
Notes: _x000D_
</t>
  </si>
  <si>
    <t>Preferrred Item/Activity Removed</t>
  </si>
  <si>
    <t>Preferrred Item Given</t>
  </si>
  <si>
    <t>Ad hoc Session at 3:35 PM</t>
  </si>
  <si>
    <t xml:space="preserve">Narrative: _x000D_
Severity: Mild_x000D_
Notes: Finished working and he continued to cry_x000D_
</t>
  </si>
  <si>
    <t xml:space="preserve">Narrative: _x000D_
Severity: Mild_x000D_
Notes: _x000D_
</t>
  </si>
  <si>
    <t>Escape</t>
  </si>
  <si>
    <t>Hitting Self</t>
  </si>
  <si>
    <t xml:space="preserve">Narrative: N ended his target and received an independent when BT handed the reinforcer that he worked for he started to hit himself multiple times._x000D_
Severity: _x000D_
Notes: _x000D_
</t>
  </si>
  <si>
    <t xml:space="preserve">Narrative: N was playing with his cars, then began to whine on the floor. He was hitting himself multiple times while looking at BT._x000D_
Severity: Mild_x000D_
Notes: _x000D_
</t>
  </si>
  <si>
    <t>Unpleasant Stimuli</t>
  </si>
  <si>
    <t xml:space="preserve">Narrative: N was playing with his toy computer and the sound was too loud_x000D_
Severity: _x000D_
Notes: _x000D_
</t>
  </si>
  <si>
    <t xml:space="preserve">Narrative: While N was crying, he began to hit himself. When hitting was redirected, he would stop crying as well but once BT started to play, he began to hit himself._x000D_
Severity: _x000D_
Notes: _x000D_
</t>
  </si>
  <si>
    <t xml:space="preserve">Narrative: While N was crying, he was hitting himself harder every time, hands were slightly moved away from his head. Then he started to hit his chin._x000D_
Severity: Severe_x000D_
Notes: _x000D_
</t>
  </si>
  <si>
    <t xml:space="preserve">Narrative: Self hit when crying_x000D_
Severity: _x000D_
Notes: _x000D_
</t>
  </si>
  <si>
    <t xml:space="preserve">Narrative: N was done with target and got up started to whine then hit himself_x000D_
Severity: _x000D_
Notes: _x000D_
</t>
  </si>
  <si>
    <t xml:space="preserve">Narrative: Was blocking the table, N was trying to crawl underneath it. Was not happy with BT, he began to hit himself._x000D_
Severity: _x000D_
Notes: _x000D_
</t>
  </si>
  <si>
    <t xml:space="preserve">Narrative: During crying behavior_x000D_
Severity: _x000D_
Notes: _x000D_
</t>
  </si>
  <si>
    <t xml:space="preserve">Narrative: N was sitting on floor, demand “stand up” was placed. N started to whine and then hit his head. Redirected hitting and then he got up to sit at table to start work._x000D_
Severity: _x000D_
Notes: _x000D_
</t>
  </si>
  <si>
    <t xml:space="preserve">Narrative: Removal of reinforcement_x000D_
Severity: _x000D_
Notes: _x000D_
</t>
  </si>
  <si>
    <t xml:space="preserve">Narrative: Was leaning back in chair during programming, BT moved chair up so he couldn’t bang his head on wall. Gave SD and began whining/crying and with a closed fist hit side of head. BT blocked and N kept trying to hit himself and BT continued to block and redirect to work task_x000D_
Severity: _x000D_
Notes: _x000D_
</t>
  </si>
  <si>
    <t xml:space="preserve">Narrative: Was sitting on chair, BT began running VIM he began to whine then cry. Hit side of head with own fist then stood up to lean over on BT, BT removed and he fell to floor crying and hit his head again. BT blocked and redirected to play_x000D_
Severity: _x000D_
Notes: _x000D_
</t>
  </si>
  <si>
    <t xml:space="preserve">Narrative: Removal of reinforcement/presenting VIM_x000D_
Severity: _x000D_
Notes: _x000D_
</t>
  </si>
  <si>
    <t xml:space="preserve">Narrative: Ignored BX &amp; blocked_x000D_
Severity: _x000D_
Notes: _x000D_
</t>
  </si>
  <si>
    <t xml:space="preserve">Narrative: Ignored BX &amp; blocked, redirected back to task._x000D_
Severity: _x000D_
Notes: _x000D_
</t>
  </si>
  <si>
    <t>Mouthing Objects</t>
  </si>
  <si>
    <t>Swiping</t>
  </si>
  <si>
    <t xml:space="preserve">Narrative: With pretend play car program with block_x000D_
Severity: _x000D_
Notes: _x000D_
</t>
  </si>
  <si>
    <t>Tapping face</t>
  </si>
  <si>
    <t xml:space="preserve">Narrative: Transitioning to room_x000D_
Severity: _x000D_
Notes: _x000D_
</t>
  </si>
  <si>
    <t>Throwing</t>
  </si>
  <si>
    <t>Toe Walking/Standing</t>
  </si>
  <si>
    <t>Visual Stimulatory Behaviors</t>
  </si>
  <si>
    <t xml:space="preserve">Narrative: Was sitting down playing with his car and started to hit himself out of nowhere._x000D_
Severity: _x000D_
Notes: _x000D_
</t>
  </si>
  <si>
    <t xml:space="preserve">Narrative: Working on program for pointing and started to hit self when prompted to point._x000D_
Severity: _x000D_
Notes: _x000D_
</t>
  </si>
  <si>
    <t>Session Date</t>
  </si>
  <si>
    <t>0:00:00</t>
  </si>
  <si>
    <t>Session Length</t>
  </si>
  <si>
    <t>Frequency:</t>
  </si>
  <si>
    <t>1. Select Behavior:</t>
  </si>
  <si>
    <t>2. Select Start Date:</t>
  </si>
  <si>
    <t>3. Select End Date:</t>
  </si>
  <si>
    <t>Duration (y-axis automatic):</t>
  </si>
  <si>
    <t>Dates</t>
  </si>
  <si>
    <t>Duration (h:m:s)</t>
  </si>
  <si>
    <t>Session Length (h:m:s)</t>
  </si>
  <si>
    <t>Type:</t>
  </si>
  <si>
    <t xml:space="preserve">Period Covered: </t>
  </si>
  <si>
    <t>to</t>
  </si>
  <si>
    <t>Total Number of Days:</t>
  </si>
  <si>
    <t>Total Time Observed</t>
  </si>
  <si>
    <t>Total Frequency:</t>
  </si>
  <si>
    <t>Total Duration:</t>
  </si>
  <si>
    <t>Rate Per Day:</t>
  </si>
  <si>
    <t>Rate Per Hour:</t>
  </si>
  <si>
    <t>Avg. Duration Per Day:</t>
  </si>
  <si>
    <t>Avg. Duration Per Hour:</t>
  </si>
  <si>
    <t>Duration (7 hour y-axis):</t>
  </si>
  <si>
    <t>Duration (4 hour y-axis):</t>
  </si>
  <si>
    <t>Duration (3 hour y-axis):</t>
  </si>
  <si>
    <t>Duration (2 hour y-axis):</t>
  </si>
  <si>
    <t>Duration (1 hour y-axis):</t>
  </si>
  <si>
    <t>ABC Data</t>
  </si>
  <si>
    <t>Antecedent Distribution:</t>
  </si>
  <si>
    <t>Consequence Distribution:</t>
  </si>
  <si>
    <t>Verbal Reprimand/Social Attention</t>
  </si>
  <si>
    <t>Activity Ends/Demand Removed</t>
  </si>
  <si>
    <t>Preferred Item Given</t>
  </si>
  <si>
    <t>Preferred Item/Activity Removed</t>
  </si>
  <si>
    <t>Demand Changed</t>
  </si>
  <si>
    <t>Automatic Reinforcement</t>
  </si>
  <si>
    <t>Date</t>
  </si>
  <si>
    <t>Behaviors</t>
  </si>
  <si>
    <t>Combining Behaviors on to a Single Graph:</t>
  </si>
  <si>
    <t>Select a behavior above, then click</t>
  </si>
  <si>
    <t>the buttons below to export the</t>
  </si>
  <si>
    <t>data to the Combined BX Graphs</t>
  </si>
  <si>
    <t xml:space="preserve">tab. When finished, click "Go!" to </t>
  </si>
  <si>
    <t xml:space="preserve">create a graph showing multiple </t>
  </si>
  <si>
    <t>behaviors.</t>
  </si>
  <si>
    <t>Frequency Behaviors:</t>
  </si>
  <si>
    <t>John Doe</t>
  </si>
  <si>
    <t>Example BT 1</t>
  </si>
  <si>
    <t>Example BT 2</t>
  </si>
  <si>
    <t>Example BT 3</t>
  </si>
  <si>
    <t>Example BT 4</t>
  </si>
  <si>
    <t>Example BT 5</t>
  </si>
  <si>
    <t>Example BT 6</t>
  </si>
  <si>
    <t>Example BT 7</t>
  </si>
  <si>
    <t>Example BT 8</t>
  </si>
  <si>
    <t>Example BT 9</t>
  </si>
  <si>
    <t>Example BT 10</t>
  </si>
  <si>
    <t>Example BT 11</t>
  </si>
  <si>
    <t>Example BT 12</t>
  </si>
  <si>
    <t>Example BT 13</t>
  </si>
  <si>
    <t>Example BT 14</t>
  </si>
  <si>
    <t>Example BT 15</t>
  </si>
  <si>
    <t>Example BT 16</t>
  </si>
  <si>
    <t>Example BT 17</t>
  </si>
  <si>
    <t>Example BT 18</t>
  </si>
  <si>
    <t>Example BT 19</t>
  </si>
  <si>
    <t>Example BT 20</t>
  </si>
  <si>
    <t>Example BT 21</t>
  </si>
  <si>
    <t>Example BT 22</t>
  </si>
  <si>
    <t>Example BT 23</t>
  </si>
  <si>
    <t>Example BT 24</t>
  </si>
  <si>
    <t>Example BT 25</t>
  </si>
  <si>
    <t>Example BT 26</t>
  </si>
  <si>
    <t>Example BT 27</t>
  </si>
  <si>
    <t>Example BT 28</t>
  </si>
  <si>
    <t>Example BT 29</t>
  </si>
  <si>
    <t>Example BT 30</t>
  </si>
  <si>
    <t>Example BT 31</t>
  </si>
  <si>
    <t>Example BT 32</t>
  </si>
  <si>
    <t>Example BT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</si>
</sst>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ss;@"/>
    <numFmt numFmtId="165" formatCode="h:mm:ss;@"/>
    <numFmt numFmtId="166" formatCode="m/d/yy;@"/>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i/>
      <u/>
      <sz val="20"/>
      <color theme="1"/>
      <name val="Calibri"/>
      <family val="2"/>
      <scheme val="minor"/>
    </font>
    <font>
      <b/>
      <i/>
      <u/>
      <sz val="20"/>
      <color rgb="FFFFB800"/>
      <name val="Calibri"/>
      <family val="2"/>
      <scheme val="minor"/>
    </font>
    <font>
      <b/>
      <sz val="12"/>
      <color rgb="FFFFB800"/>
      <name val="Calibri"/>
      <family val="2"/>
      <scheme val="minor"/>
    </font>
    <font>
      <b/>
      <sz val="14"/>
      <color rgb="FFFFB800"/>
      <name val="Calibri"/>
      <family val="2"/>
      <scheme val="minor"/>
    </font>
    <font>
      <b/>
      <i/>
      <sz val="14"/>
      <color rgb="FFFFB800"/>
      <name val="Calibri"/>
      <family val="2"/>
      <scheme val="minor"/>
    </font>
    <font>
      <i/>
      <sz val="12"/>
      <color rgb="FFFFB800"/>
      <name val="Calibri"/>
      <family val="2"/>
      <scheme val="minor"/>
    </font>
    <font>
      <i/>
      <sz val="12"/>
      <color theme="0"/>
      <name val="Calibri"/>
      <family val="2"/>
      <scheme val="minor"/>
    </font>
    <font>
      <b/>
      <sz val="14"/>
      <color rgb="FFF7B900"/>
      <name val="Calibri"/>
      <family val="2"/>
      <scheme val="minor"/>
    </font>
    <font>
      <sz val="14"/>
      <color rgb="FFFFC000"/>
      <name val="Calibri"/>
      <family val="2"/>
      <scheme val="minor"/>
    </font>
    <font>
      <i/>
      <sz val="14"/>
      <color rgb="FFFFC000"/>
      <name val="Calibri"/>
      <family val="2"/>
      <scheme val="minor"/>
    </font>
    <font>
      <sz val="12"/>
      <color rgb="FFFFC000"/>
      <name val="Calibri"/>
      <family val="2"/>
      <scheme val="minor"/>
    </font>
    <font>
      <sz val="12"/>
      <color rgb="FFF6B941"/>
      <name val="Calibri"/>
      <family val="2"/>
      <scheme val="minor"/>
    </font>
    <font>
      <b/>
      <sz val="14"/>
      <color rgb="FFF6B941"/>
      <name val="Calibri"/>
      <family val="2"/>
      <scheme val="minor"/>
    </font>
    <font>
      <sz val="12"/>
      <color rgb="FFF6B940"/>
      <name val="Calibri"/>
      <family val="2"/>
      <scheme val="minor"/>
    </font>
    <font>
      <b/>
      <i/>
      <u/>
      <sz val="12"/>
      <color rgb="FFF6B940"/>
      <name val="Calibri"/>
      <family val="2"/>
      <scheme val="minor"/>
    </font>
    <font>
      <b/>
      <i/>
      <sz val="12"/>
      <color rgb="FFF6B940"/>
      <name val="Calibri"/>
      <family val="2"/>
      <scheme val="minor"/>
    </font>
    <font>
      <sz val="12"/>
      <color rgb="FF000000"/>
      <name val="Calibr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57AF"/>
        <bgColor indexed="64"/>
      </patternFill>
    </fill>
    <fill>
      <patternFill patternType="solid">
        <fgColor rgb="FF2059A9"/>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top/>
      <bottom/>
      <diagonal/>
    </border>
    <border>
      <left style="thick">
        <color indexed="64"/>
      </left>
      <right/>
      <top style="thin">
        <color indexed="64"/>
      </top>
      <bottom/>
      <diagonal/>
    </border>
    <border>
      <left/>
      <right/>
      <top style="thin">
        <color indexed="64"/>
      </top>
      <bottom/>
      <diagonal/>
    </border>
    <border>
      <left style="thick">
        <color indexed="64"/>
      </left>
      <right/>
      <top style="thick">
        <color indexed="64"/>
      </top>
      <bottom/>
      <diagonal/>
    </border>
    <border>
      <left/>
      <right/>
      <top style="thick">
        <color indexed="64"/>
      </top>
      <bottom/>
      <diagonal/>
    </border>
    <border>
      <left style="thick">
        <color indexed="64"/>
      </left>
      <right/>
      <top style="thick">
        <color indexed="64"/>
      </top>
      <bottom style="thick">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style="thick">
        <color indexed="64"/>
      </top>
      <bottom/>
      <diagonal/>
    </border>
    <border>
      <left/>
      <right style="thick">
        <color indexed="64"/>
      </right>
      <top/>
      <bottom/>
      <diagonal/>
    </border>
    <border>
      <left/>
      <right style="thick">
        <color indexed="64"/>
      </right>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bottom style="thin">
        <color indexed="64"/>
      </bottom>
      <diagonal/>
    </border>
    <border>
      <left style="thick">
        <color indexed="64"/>
      </left>
      <right style="thick">
        <color indexed="64"/>
      </right>
      <top/>
      <bottom/>
      <diagonal/>
    </border>
    <border>
      <left/>
      <right style="thick">
        <color indexed="64"/>
      </right>
      <top style="thin">
        <color indexed="64"/>
      </top>
      <bottom/>
      <diagonal/>
    </border>
    <border>
      <left style="thick">
        <color indexed="64"/>
      </left>
      <right style="thick">
        <color indexed="64"/>
      </right>
      <top style="thick">
        <color indexed="64"/>
      </top>
      <bottom/>
      <diagonal/>
    </border>
    <border>
      <left style="thin">
        <color indexed="64"/>
      </left>
      <right style="thin">
        <color indexed="64"/>
      </right>
      <top style="thin">
        <color indexed="64"/>
      </top>
      <bottom/>
      <diagonal/>
    </border>
    <border>
      <left style="thick">
        <color indexed="64"/>
      </left>
      <right style="thick">
        <color indexed="64"/>
      </right>
      <top/>
      <bottom style="thick">
        <color indexed="64"/>
      </bottom>
      <diagonal/>
    </border>
    <border>
      <left/>
      <right/>
      <top/>
      <bottom style="dotted">
        <color indexed="64"/>
      </bottom>
      <diagonal/>
    </border>
    <border>
      <left style="thick">
        <color indexed="64"/>
      </left>
      <right/>
      <top/>
      <bottom style="dotted">
        <color indexed="64"/>
      </bottom>
      <diagonal/>
    </border>
    <border>
      <left/>
      <right style="thick">
        <color indexed="64"/>
      </right>
      <top/>
      <bottom style="dotted">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1">
    <xf numFmtId="0" fontId="0" fillId="0" borderId="0" xfId="0"/>
    <xf numFmtId="22" fontId="0" fillId="0" borderId="0" xfId="0" applyNumberFormat="1"/>
    <xf numFmtId="0" fontId="0" fillId="0" borderId="0" xfId="0" applyAlignment="1">
      <alignment wrapText="1"/>
    </xf>
    <xf numFmtId="14" fontId="0" fillId="0" borderId="0" xfId="0" applyNumberFormat="1"/>
    <xf numFmtId="164" fontId="0" fillId="0" borderId="0" xfId="0" applyNumberFormat="1"/>
    <xf numFmtId="0" fontId="0" fillId="0" borderId="0" xfId="0" applyAlignment="1">
      <alignment horizontal="right"/>
    </xf>
    <xf numFmtId="21" fontId="0" fillId="0" borderId="0" xfId="0" applyNumberFormat="1" applyAlignment="1">
      <alignment horizontal="right"/>
    </xf>
    <xf numFmtId="0" fontId="0" fillId="33" borderId="0" xfId="0" applyFill="1"/>
    <xf numFmtId="0" fontId="18" fillId="33" borderId="0" xfId="0" applyFont="1" applyFill="1" applyAlignment="1">
      <alignment horizontal="center" vertical="center"/>
    </xf>
    <xf numFmtId="0" fontId="16" fillId="33" borderId="0" xfId="0" applyFont="1" applyFill="1" applyBorder="1" applyAlignment="1">
      <alignment horizontal="center" vertical="center"/>
    </xf>
    <xf numFmtId="0" fontId="0" fillId="33" borderId="0" xfId="0" applyFill="1" applyBorder="1" applyAlignment="1">
      <alignment horizontal="left" vertical="center"/>
    </xf>
    <xf numFmtId="0" fontId="16" fillId="33" borderId="0" xfId="0" applyFont="1" applyFill="1" applyBorder="1" applyAlignment="1">
      <alignment horizontal="center"/>
    </xf>
    <xf numFmtId="0" fontId="0" fillId="33" borderId="0" xfId="0" applyFill="1" applyBorder="1" applyAlignment="1">
      <alignment horizontal="center"/>
    </xf>
    <xf numFmtId="165" fontId="0" fillId="33" borderId="0" xfId="0" applyNumberFormat="1" applyFill="1"/>
    <xf numFmtId="0" fontId="21" fillId="33" borderId="0" xfId="0" applyFont="1" applyFill="1"/>
    <xf numFmtId="0" fontId="20" fillId="33" borderId="20" xfId="0" applyFont="1" applyFill="1" applyBorder="1" applyAlignment="1">
      <alignment horizontal="left" vertical="center"/>
    </xf>
    <xf numFmtId="0" fontId="20" fillId="33" borderId="37" xfId="0" applyFont="1" applyFill="1" applyBorder="1" applyAlignment="1">
      <alignment horizontal="left" vertical="center"/>
    </xf>
    <xf numFmtId="0" fontId="20" fillId="33" borderId="16" xfId="0" applyFont="1" applyFill="1" applyBorder="1" applyAlignment="1">
      <alignment horizontal="left" vertical="center"/>
    </xf>
    <xf numFmtId="0" fontId="22" fillId="33" borderId="16" xfId="0" applyFont="1" applyFill="1" applyBorder="1" applyAlignment="1">
      <alignment horizontal="right" vertical="center"/>
    </xf>
    <xf numFmtId="0" fontId="20" fillId="33" borderId="12" xfId="0" applyFont="1" applyFill="1" applyBorder="1" applyAlignment="1">
      <alignment horizontal="center" vertical="center"/>
    </xf>
    <xf numFmtId="14" fontId="17" fillId="33" borderId="41" xfId="0" applyNumberFormat="1" applyFont="1" applyFill="1" applyBorder="1"/>
    <xf numFmtId="0" fontId="17" fillId="33" borderId="32" xfId="0" applyFont="1" applyFill="1" applyBorder="1"/>
    <xf numFmtId="165" fontId="17" fillId="33" borderId="32" xfId="0" applyNumberFormat="1" applyFont="1" applyFill="1" applyBorder="1"/>
    <xf numFmtId="164" fontId="17" fillId="33" borderId="43" xfId="0" applyNumberFormat="1" applyFont="1" applyFill="1" applyBorder="1"/>
    <xf numFmtId="14" fontId="17" fillId="33" borderId="42" xfId="0" applyNumberFormat="1" applyFont="1" applyFill="1" applyBorder="1"/>
    <xf numFmtId="0" fontId="17" fillId="33" borderId="27" xfId="0" applyFont="1" applyFill="1" applyBorder="1"/>
    <xf numFmtId="165" fontId="17" fillId="33" borderId="27" xfId="0" applyNumberFormat="1" applyFont="1" applyFill="1" applyBorder="1"/>
    <xf numFmtId="164" fontId="17" fillId="33" borderId="44" xfId="0" applyNumberFormat="1" applyFont="1" applyFill="1" applyBorder="1"/>
    <xf numFmtId="0" fontId="17" fillId="33" borderId="42" xfId="0" applyFont="1" applyFill="1" applyBorder="1"/>
    <xf numFmtId="0" fontId="17" fillId="33" borderId="45" xfId="0" applyFont="1" applyFill="1" applyBorder="1"/>
    <xf numFmtId="0" fontId="17" fillId="33" borderId="36" xfId="0" applyFont="1" applyFill="1" applyBorder="1"/>
    <xf numFmtId="165" fontId="17" fillId="33" borderId="36" xfId="0" applyNumberFormat="1" applyFont="1" applyFill="1" applyBorder="1"/>
    <xf numFmtId="164" fontId="17" fillId="33" borderId="46" xfId="0" applyNumberFormat="1" applyFont="1" applyFill="1" applyBorder="1"/>
    <xf numFmtId="166" fontId="24" fillId="33" borderId="11" xfId="0" applyNumberFormat="1" applyFont="1" applyFill="1" applyBorder="1" applyAlignment="1">
      <alignment horizontal="center" vertical="center"/>
    </xf>
    <xf numFmtId="166" fontId="24" fillId="33" borderId="34" xfId="0" applyNumberFormat="1" applyFont="1" applyFill="1" applyBorder="1" applyAlignment="1">
      <alignment horizontal="center" vertical="center"/>
    </xf>
    <xf numFmtId="0" fontId="17" fillId="33" borderId="28" xfId="0" applyFont="1" applyFill="1" applyBorder="1"/>
    <xf numFmtId="164" fontId="17" fillId="33" borderId="28" xfId="0" applyNumberFormat="1" applyFont="1" applyFill="1" applyBorder="1"/>
    <xf numFmtId="164" fontId="17" fillId="33" borderId="31" xfId="0" applyNumberFormat="1" applyFont="1" applyFill="1" applyBorder="1"/>
    <xf numFmtId="0" fontId="25" fillId="33" borderId="0" xfId="0" applyFont="1" applyFill="1"/>
    <xf numFmtId="0" fontId="17" fillId="33" borderId="24" xfId="0" applyFont="1" applyFill="1" applyBorder="1"/>
    <xf numFmtId="0" fontId="17" fillId="33" borderId="30" xfId="0" applyFont="1" applyFill="1" applyBorder="1"/>
    <xf numFmtId="9" fontId="17" fillId="33" borderId="25" xfId="1" applyFont="1" applyFill="1" applyBorder="1"/>
    <xf numFmtId="9" fontId="17" fillId="33" borderId="28" xfId="1" applyFont="1" applyFill="1" applyBorder="1"/>
    <xf numFmtId="9" fontId="17" fillId="33" borderId="31" xfId="1" applyFont="1" applyFill="1" applyBorder="1"/>
    <xf numFmtId="0" fontId="29" fillId="34" borderId="0" xfId="0" applyFont="1" applyFill="1"/>
    <xf numFmtId="0" fontId="29" fillId="34" borderId="0" xfId="0" applyFont="1" applyFill="1" applyAlignment="1">
      <alignment horizontal="center"/>
    </xf>
    <xf numFmtId="0" fontId="29" fillId="34" borderId="35" xfId="0" applyFont="1" applyFill="1" applyBorder="1" applyAlignment="1">
      <alignment horizontal="center"/>
    </xf>
    <xf numFmtId="14" fontId="17" fillId="34" borderId="23" xfId="0" applyNumberFormat="1" applyFont="1" applyFill="1" applyBorder="1"/>
    <xf numFmtId="0" fontId="17" fillId="34" borderId="24" xfId="0" applyFont="1" applyFill="1" applyBorder="1"/>
    <xf numFmtId="0" fontId="17" fillId="34" borderId="25" xfId="0" applyFont="1" applyFill="1" applyBorder="1"/>
    <xf numFmtId="14" fontId="17" fillId="34" borderId="26" xfId="0" applyNumberFormat="1" applyFont="1" applyFill="1" applyBorder="1"/>
    <xf numFmtId="0" fontId="17" fillId="34" borderId="27" xfId="0" applyFont="1" applyFill="1" applyBorder="1"/>
    <xf numFmtId="0" fontId="17" fillId="34" borderId="28" xfId="0" applyFont="1" applyFill="1" applyBorder="1"/>
    <xf numFmtId="14" fontId="17" fillId="34" borderId="29" xfId="0" applyNumberFormat="1" applyFont="1" applyFill="1" applyBorder="1"/>
    <xf numFmtId="0" fontId="17" fillId="34" borderId="30" xfId="0" applyFont="1" applyFill="1" applyBorder="1"/>
    <xf numFmtId="0" fontId="17" fillId="34" borderId="31" xfId="0" applyFont="1" applyFill="1" applyBorder="1"/>
    <xf numFmtId="0" fontId="29" fillId="34" borderId="33" xfId="0" applyFont="1" applyFill="1" applyBorder="1" applyAlignment="1">
      <alignment horizontal="center"/>
    </xf>
    <xf numFmtId="0" fontId="31" fillId="33" borderId="0" xfId="0" applyFont="1" applyFill="1"/>
    <xf numFmtId="0" fontId="33" fillId="33" borderId="0" xfId="0" applyFont="1" applyFill="1" applyAlignment="1">
      <alignment horizontal="center" wrapText="1"/>
    </xf>
    <xf numFmtId="0" fontId="32" fillId="33" borderId="0" xfId="0" applyFont="1" applyFill="1" applyAlignment="1">
      <alignment horizontal="center"/>
    </xf>
    <xf numFmtId="0" fontId="28" fillId="33" borderId="26" xfId="0" applyFont="1" applyFill="1" applyBorder="1" applyAlignment="1">
      <alignment horizontal="left"/>
    </xf>
    <xf numFmtId="0" fontId="28" fillId="33" borderId="27" xfId="0" applyFont="1" applyFill="1" applyBorder="1" applyAlignment="1">
      <alignment horizontal="left"/>
    </xf>
    <xf numFmtId="0" fontId="28" fillId="33" borderId="29" xfId="0" applyFont="1" applyFill="1" applyBorder="1" applyAlignment="1">
      <alignment horizontal="left"/>
    </xf>
    <xf numFmtId="0" fontId="28" fillId="33" borderId="30" xfId="0" applyFont="1" applyFill="1" applyBorder="1" applyAlignment="1">
      <alignment horizontal="left"/>
    </xf>
    <xf numFmtId="0" fontId="27" fillId="33" borderId="10" xfId="0" applyFont="1" applyFill="1" applyBorder="1" applyAlignment="1">
      <alignment horizontal="center"/>
    </xf>
    <xf numFmtId="0" fontId="27" fillId="33" borderId="0" xfId="0" applyFont="1" applyFill="1" applyBorder="1" applyAlignment="1">
      <alignment horizontal="center"/>
    </xf>
    <xf numFmtId="0" fontId="27" fillId="33" borderId="19" xfId="0" applyFont="1" applyFill="1" applyBorder="1" applyAlignment="1">
      <alignment horizontal="center"/>
    </xf>
    <xf numFmtId="0" fontId="28" fillId="33" borderId="23" xfId="0" applyFont="1" applyFill="1" applyBorder="1" applyAlignment="1">
      <alignment horizontal="left"/>
    </xf>
    <xf numFmtId="0" fontId="28" fillId="33" borderId="24" xfId="0" applyFont="1" applyFill="1" applyBorder="1" applyAlignment="1">
      <alignment horizontal="left"/>
    </xf>
    <xf numFmtId="0" fontId="26" fillId="33" borderId="13" xfId="0" applyFont="1" applyFill="1" applyBorder="1" applyAlignment="1">
      <alignment horizontal="center"/>
    </xf>
    <xf numFmtId="0" fontId="26" fillId="33" borderId="14" xfId="0" applyFont="1" applyFill="1" applyBorder="1" applyAlignment="1">
      <alignment horizontal="center"/>
    </xf>
    <xf numFmtId="0" fontId="26" fillId="33" borderId="18" xfId="0" applyFont="1" applyFill="1" applyBorder="1" applyAlignment="1">
      <alignment horizontal="center"/>
    </xf>
    <xf numFmtId="0" fontId="27" fillId="33" borderId="13" xfId="0" applyFont="1" applyFill="1" applyBorder="1" applyAlignment="1">
      <alignment horizontal="center"/>
    </xf>
    <xf numFmtId="0" fontId="27" fillId="33" borderId="14" xfId="0" applyFont="1" applyFill="1" applyBorder="1" applyAlignment="1">
      <alignment horizontal="center"/>
    </xf>
    <xf numFmtId="0" fontId="27" fillId="33" borderId="18" xfId="0" applyFont="1" applyFill="1" applyBorder="1" applyAlignment="1">
      <alignment horizontal="center"/>
    </xf>
    <xf numFmtId="0" fontId="23" fillId="33" borderId="26" xfId="0" applyFont="1" applyFill="1" applyBorder="1" applyAlignment="1">
      <alignment horizontal="left" vertical="center"/>
    </xf>
    <xf numFmtId="0" fontId="23" fillId="33" borderId="27" xfId="0" applyFont="1" applyFill="1" applyBorder="1" applyAlignment="1">
      <alignment horizontal="left" vertical="center"/>
    </xf>
    <xf numFmtId="0" fontId="20" fillId="33" borderId="26" xfId="0" applyFont="1" applyFill="1" applyBorder="1" applyAlignment="1">
      <alignment horizontal="left" vertical="center"/>
    </xf>
    <xf numFmtId="0" fontId="20" fillId="33" borderId="27" xfId="0" applyFont="1" applyFill="1" applyBorder="1" applyAlignment="1">
      <alignment horizontal="left" vertical="center"/>
    </xf>
    <xf numFmtId="0" fontId="20" fillId="33" borderId="29" xfId="0" applyFont="1" applyFill="1" applyBorder="1" applyAlignment="1">
      <alignment horizontal="left" vertical="center"/>
    </xf>
    <xf numFmtId="0" fontId="20" fillId="33" borderId="30" xfId="0" applyFont="1" applyFill="1" applyBorder="1" applyAlignment="1">
      <alignment horizontal="left" vertical="center"/>
    </xf>
    <xf numFmtId="166" fontId="17" fillId="33" borderId="15" xfId="0" applyNumberFormat="1" applyFont="1" applyFill="1" applyBorder="1" applyAlignment="1">
      <alignment horizontal="center"/>
    </xf>
    <xf numFmtId="166" fontId="17" fillId="33" borderId="21" xfId="0" applyNumberFormat="1" applyFont="1" applyFill="1" applyBorder="1" applyAlignment="1">
      <alignment horizontal="center"/>
    </xf>
    <xf numFmtId="166" fontId="17" fillId="33" borderId="22" xfId="0" applyNumberFormat="1" applyFont="1" applyFill="1" applyBorder="1" applyAlignment="1">
      <alignment horizontal="center"/>
    </xf>
    <xf numFmtId="0" fontId="22" fillId="33" borderId="17" xfId="0" applyFont="1" applyFill="1" applyBorder="1" applyAlignment="1">
      <alignment horizontal="center" vertical="center"/>
    </xf>
    <xf numFmtId="0" fontId="22" fillId="33" borderId="20" xfId="0" applyFont="1" applyFill="1" applyBorder="1" applyAlignment="1">
      <alignment horizontal="center" vertical="center"/>
    </xf>
    <xf numFmtId="0" fontId="20" fillId="33" borderId="10" xfId="0" applyFont="1" applyFill="1" applyBorder="1" applyAlignment="1">
      <alignment horizontal="center"/>
    </xf>
    <xf numFmtId="0" fontId="20" fillId="33" borderId="0" xfId="0" applyFont="1" applyFill="1" applyBorder="1" applyAlignment="1">
      <alignment horizontal="center"/>
    </xf>
    <xf numFmtId="0" fontId="20" fillId="33" borderId="19" xfId="0" applyFont="1" applyFill="1" applyBorder="1" applyAlignment="1">
      <alignment horizontal="center"/>
    </xf>
    <xf numFmtId="0" fontId="21" fillId="33" borderId="13" xfId="0" applyFont="1" applyFill="1" applyBorder="1" applyAlignment="1">
      <alignment horizontal="center" vertical="center" wrapText="1"/>
    </xf>
    <xf numFmtId="0" fontId="21" fillId="33" borderId="14" xfId="0" applyFont="1" applyFill="1" applyBorder="1" applyAlignment="1">
      <alignment horizontal="center" vertical="center" wrapText="1"/>
    </xf>
    <xf numFmtId="0" fontId="21" fillId="33" borderId="18" xfId="0" applyFont="1" applyFill="1" applyBorder="1" applyAlignment="1">
      <alignment horizontal="center" vertical="center" wrapText="1"/>
    </xf>
    <xf numFmtId="0" fontId="21" fillId="33" borderId="10" xfId="0" applyFont="1" applyFill="1" applyBorder="1" applyAlignment="1">
      <alignment horizontal="center" vertical="center" wrapText="1"/>
    </xf>
    <xf numFmtId="0" fontId="21" fillId="33" borderId="0" xfId="0" applyFont="1" applyFill="1" applyBorder="1" applyAlignment="1">
      <alignment horizontal="center" vertical="center" wrapText="1"/>
    </xf>
    <xf numFmtId="0" fontId="21" fillId="33" borderId="19" xfId="0" applyFont="1" applyFill="1" applyBorder="1" applyAlignment="1">
      <alignment horizontal="center" vertical="center" wrapText="1"/>
    </xf>
    <xf numFmtId="0" fontId="21" fillId="33" borderId="39" xfId="0" applyFont="1" applyFill="1" applyBorder="1" applyAlignment="1">
      <alignment horizontal="center" vertical="center" wrapText="1"/>
    </xf>
    <xf numFmtId="0" fontId="21" fillId="33" borderId="38" xfId="0" applyFont="1" applyFill="1" applyBorder="1" applyAlignment="1">
      <alignment horizontal="center" vertical="center" wrapText="1"/>
    </xf>
    <xf numFmtId="0" fontId="21" fillId="33" borderId="40" xfId="0" applyFont="1" applyFill="1" applyBorder="1" applyAlignment="1">
      <alignment horizontal="center" vertical="center" wrapText="1"/>
    </xf>
    <xf numFmtId="0" fontId="20" fillId="33" borderId="15" xfId="0" applyFont="1" applyFill="1" applyBorder="1" applyAlignment="1">
      <alignment horizontal="center" vertical="center"/>
    </xf>
    <xf numFmtId="0" fontId="20" fillId="33" borderId="21" xfId="0" applyFont="1" applyFill="1" applyBorder="1" applyAlignment="1">
      <alignment horizontal="center" vertical="center"/>
    </xf>
    <xf numFmtId="0" fontId="20" fillId="33" borderId="22" xfId="0" applyFont="1" applyFill="1" applyBorder="1" applyAlignment="1">
      <alignment horizontal="center" vertical="center"/>
    </xf>
    <xf numFmtId="0" fontId="17" fillId="33" borderId="15" xfId="0" applyFont="1" applyFill="1" applyBorder="1" applyAlignment="1">
      <alignment horizontal="center" vertical="center"/>
    </xf>
    <xf numFmtId="0" fontId="17" fillId="33" borderId="21" xfId="0" applyFont="1" applyFill="1" applyBorder="1" applyAlignment="1">
      <alignment horizontal="center" vertical="center"/>
    </xf>
    <xf numFmtId="0" fontId="17" fillId="33" borderId="22" xfId="0" applyFont="1" applyFill="1" applyBorder="1" applyAlignment="1">
      <alignment horizontal="center" vertical="center"/>
    </xf>
    <xf numFmtId="0" fontId="19" fillId="33" borderId="0" xfId="0" applyFont="1" applyFill="1" applyAlignment="1">
      <alignment horizontal="center" vertical="center"/>
    </xf>
    <xf numFmtId="0" fontId="20" fillId="33" borderId="15" xfId="0" applyFont="1" applyFill="1" applyBorder="1" applyAlignment="1">
      <alignment horizontal="center"/>
    </xf>
    <xf numFmtId="0" fontId="20" fillId="33" borderId="21" xfId="0" applyFont="1" applyFill="1" applyBorder="1" applyAlignment="1">
      <alignment horizontal="center"/>
    </xf>
    <xf numFmtId="0" fontId="20" fillId="33" borderId="22" xfId="0" applyFont="1" applyFill="1" applyBorder="1" applyAlignment="1">
      <alignment horizontal="center"/>
    </xf>
    <xf numFmtId="0" fontId="30" fillId="34" borderId="15" xfId="0" applyFont="1" applyFill="1" applyBorder="1" applyAlignment="1">
      <alignment horizontal="center"/>
    </xf>
    <xf numFmtId="0" fontId="30" fillId="34" borderId="21" xfId="0" applyFont="1" applyFill="1" applyBorder="1" applyAlignment="1">
      <alignment horizontal="center"/>
    </xf>
    <xf numFmtId="0" fontId="30" fillId="34" borderId="22"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theme="0"/>
        <family val="2"/>
      </font>
      <numFmt numFmtId="164" formatCode="[h]:mm:ss;@"/>
      <fill>
        <patternFill patternType="solid">
          <fgColor indexed="64"/>
          <bgColor rgb="FF0057AF"/>
        </patternFill>
      </fill>
      <border diagonalUp="0" diagonalDown="0" outline="0">
        <left style="thin">
          <color indexed="64"/>
        </left>
        <right/>
        <top style="thin">
          <color indexed="64"/>
        </top>
        <bottom style="thin">
          <color indexed="64"/>
        </bottom>
      </border>
    </dxf>
    <dxf>
      <font>
        <color theme="0"/>
        <family val="2"/>
      </font>
      <numFmt numFmtId="165" formatCode="h:mm:ss;@"/>
      <fill>
        <patternFill patternType="solid">
          <fgColor indexed="64"/>
          <bgColor rgb="FF0057AF"/>
        </patternFill>
      </fill>
      <border diagonalUp="0" diagonalDown="0" outline="0">
        <left style="thin">
          <color indexed="64"/>
        </left>
        <right style="thin">
          <color indexed="64"/>
        </right>
        <top style="thin">
          <color indexed="64"/>
        </top>
        <bottom style="thin">
          <color indexed="64"/>
        </bottom>
      </border>
    </dxf>
    <dxf>
      <font>
        <color theme="0"/>
        <family val="2"/>
      </font>
      <fill>
        <patternFill patternType="solid">
          <fgColor indexed="64"/>
          <bgColor rgb="FF0057AF"/>
        </patternFill>
      </fill>
      <border diagonalUp="0" diagonalDown="0" outline="0">
        <left style="thin">
          <color indexed="64"/>
        </left>
        <right style="thin">
          <color indexed="64"/>
        </right>
        <top style="thin">
          <color indexed="64"/>
        </top>
        <bottom style="thin">
          <color indexed="64"/>
        </bottom>
      </border>
    </dxf>
    <dxf>
      <font>
        <color theme="0"/>
        <family val="2"/>
      </font>
      <fill>
        <patternFill patternType="solid">
          <fgColor indexed="64"/>
          <bgColor rgb="FF0057AF"/>
        </patternFill>
      </fill>
      <border diagonalUp="0" diagonalDown="0" outline="0">
        <left/>
        <right style="thin">
          <color indexed="64"/>
        </right>
        <top style="thin">
          <color indexed="64"/>
        </top>
        <bottom style="thin">
          <color indexed="64"/>
        </bottom>
      </border>
    </dxf>
    <dxf>
      <border outline="0">
        <left style="thick">
          <color indexed="64"/>
        </left>
        <right style="thick">
          <color indexed="64"/>
        </right>
        <top style="thick">
          <color indexed="64"/>
        </top>
        <bottom style="thick">
          <color indexed="64"/>
        </bottom>
      </border>
    </dxf>
    <dxf>
      <font>
        <color theme="0"/>
        <family val="2"/>
      </font>
      <fill>
        <patternFill patternType="solid">
          <fgColor indexed="64"/>
          <bgColor rgb="FF0057AF"/>
        </patternFill>
      </fill>
    </dxf>
    <dxf>
      <border outline="0">
        <bottom style="thick">
          <color indexed="64"/>
        </bottom>
      </border>
    </dxf>
    <dxf>
      <font>
        <b/>
        <i val="0"/>
        <strike val="0"/>
        <condense val="0"/>
        <extend val="0"/>
        <outline val="0"/>
        <shadow val="0"/>
        <u val="none"/>
        <vertAlign val="baseline"/>
        <sz val="12"/>
        <color rgb="FFFFB800"/>
        <name val="Calibri"/>
        <family val="2"/>
        <scheme val="minor"/>
      </font>
      <fill>
        <patternFill patternType="solid">
          <fgColor indexed="64"/>
          <bgColor rgb="FF0057AF"/>
        </patternFill>
      </fill>
      <alignment horizontal="left" vertical="center" textRotation="0" wrapText="0" indent="0" justifyLastLine="0" shrinkToFit="0" readingOrder="0"/>
      <border diagonalUp="0" diagonalDown="0" outline="0">
        <left style="thick">
          <color indexed="64"/>
        </left>
        <right style="thick">
          <color indexed="64"/>
        </right>
        <top/>
        <bottom/>
      </border>
    </dxf>
    <dxf>
      <font>
        <color rgb="FFAB0000"/>
      </font>
      <fill>
        <patternFill>
          <fgColor indexed="64"/>
          <bgColor rgb="FFFFC2CD"/>
        </patternFill>
      </fill>
    </dxf>
    <dxf>
      <font>
        <color rgb="FFAB0000"/>
      </font>
      <fill>
        <patternFill>
          <fgColor indexed="64"/>
          <bgColor rgb="FFFFC2CD"/>
        </patternFill>
      </fill>
    </dxf>
    <dxf>
      <font>
        <color rgb="FF004FB4"/>
      </font>
    </dxf>
    <dxf>
      <font>
        <color rgb="FF004FB4"/>
      </font>
    </dxf>
    <dxf>
      <font>
        <color rgb="FF004FB4"/>
      </font>
    </dxf>
    <dxf>
      <font>
        <color rgb="FF004FB4"/>
      </font>
    </dxf>
    <dxf>
      <font>
        <color rgb="FF004FB4"/>
      </font>
    </dxf>
    <dxf>
      <font>
        <color rgb="FF004FB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[0]!chart_Frequency</c:f>
              <c:numCache>
                <c:formatCode>General</c:formatCode>
                <c:ptCount val="75"/>
                <c:pt idx="0">
                  <c:v>0</c:v>
                </c:pt>
                <c:pt idx="1">
                  <c:v>0</c:v>
                </c:pt>
                <c:pt idx="2">
                  <c:v>0</c:v>
                </c:pt>
                <c:pt idx="3">
                  <c:v>0</c:v>
                </c:pt>
                <c:pt idx="4">
                  <c:v>0</c:v>
                </c:pt>
                <c:pt idx="5">
                  <c:v>0</c:v>
                </c:pt>
                <c:pt idx="6">
                  <c:v>0</c:v>
                </c:pt>
                <c:pt idx="7">
                  <c:v>0</c:v>
                </c:pt>
                <c:pt idx="8">
                  <c:v>0</c:v>
                </c:pt>
                <c:pt idx="9">
                  <c:v>27</c:v>
                </c:pt>
                <c:pt idx="10">
                  <c:v>55</c:v>
                </c:pt>
                <c:pt idx="11">
                  <c:v>3</c:v>
                </c:pt>
                <c:pt idx="12">
                  <c:v>12</c:v>
                </c:pt>
                <c:pt idx="13">
                  <c:v>14</c:v>
                </c:pt>
                <c:pt idx="14">
                  <c:v>42</c:v>
                </c:pt>
                <c:pt idx="15">
                  <c:v>2</c:v>
                </c:pt>
                <c:pt idx="16">
                  <c:v>35</c:v>
                </c:pt>
                <c:pt idx="17">
                  <c:v>2</c:v>
                </c:pt>
                <c:pt idx="18">
                  <c:v>35</c:v>
                </c:pt>
                <c:pt idx="19">
                  <c:v>0</c:v>
                </c:pt>
                <c:pt idx="20">
                  <c:v>12</c:v>
                </c:pt>
                <c:pt idx="21">
                  <c:v>8</c:v>
                </c:pt>
                <c:pt idx="22">
                  <c:v>22</c:v>
                </c:pt>
                <c:pt idx="23">
                  <c:v>2</c:v>
                </c:pt>
                <c:pt idx="24">
                  <c:v>23</c:v>
                </c:pt>
                <c:pt idx="25">
                  <c:v>0</c:v>
                </c:pt>
                <c:pt idx="26">
                  <c:v>1</c:v>
                </c:pt>
                <c:pt idx="27">
                  <c:v>24</c:v>
                </c:pt>
                <c:pt idx="28">
                  <c:v>1</c:v>
                </c:pt>
                <c:pt idx="29">
                  <c:v>2</c:v>
                </c:pt>
                <c:pt idx="30">
                  <c:v>0</c:v>
                </c:pt>
                <c:pt idx="31">
                  <c:v>54</c:v>
                </c:pt>
                <c:pt idx="32">
                  <c:v>5</c:v>
                </c:pt>
                <c:pt idx="33">
                  <c:v>13</c:v>
                </c:pt>
                <c:pt idx="34">
                  <c:v>60</c:v>
                </c:pt>
                <c:pt idx="35">
                  <c:v>19</c:v>
                </c:pt>
                <c:pt idx="36">
                  <c:v>63</c:v>
                </c:pt>
                <c:pt idx="37">
                  <c:v>0</c:v>
                </c:pt>
                <c:pt idx="38">
                  <c:v>9</c:v>
                </c:pt>
                <c:pt idx="39">
                  <c:v>71</c:v>
                </c:pt>
                <c:pt idx="40">
                  <c:v>32</c:v>
                </c:pt>
                <c:pt idx="41">
                  <c:v>30</c:v>
                </c:pt>
                <c:pt idx="42">
                  <c:v>19</c:v>
                </c:pt>
                <c:pt idx="43">
                  <c:v>33</c:v>
                </c:pt>
                <c:pt idx="44">
                  <c:v>76</c:v>
                </c:pt>
                <c:pt idx="45">
                  <c:v>0</c:v>
                </c:pt>
                <c:pt idx="46">
                  <c:v>11</c:v>
                </c:pt>
                <c:pt idx="47">
                  <c:v>53</c:v>
                </c:pt>
                <c:pt idx="48">
                  <c:v>71</c:v>
                </c:pt>
                <c:pt idx="49">
                  <c:v>17</c:v>
                </c:pt>
                <c:pt idx="50">
                  <c:v>6</c:v>
                </c:pt>
                <c:pt idx="51">
                  <c:v>0</c:v>
                </c:pt>
                <c:pt idx="52">
                  <c:v>15</c:v>
                </c:pt>
                <c:pt idx="53">
                  <c:v>0</c:v>
                </c:pt>
                <c:pt idx="54">
                  <c:v>4</c:v>
                </c:pt>
                <c:pt idx="55">
                  <c:v>1</c:v>
                </c:pt>
                <c:pt idx="56">
                  <c:v>22</c:v>
                </c:pt>
                <c:pt idx="57">
                  <c:v>4</c:v>
                </c:pt>
                <c:pt idx="58">
                  <c:v>15</c:v>
                </c:pt>
                <c:pt idx="59">
                  <c:v>1</c:v>
                </c:pt>
                <c:pt idx="60">
                  <c:v>3</c:v>
                </c:pt>
                <c:pt idx="61">
                  <c:v>8</c:v>
                </c:pt>
                <c:pt idx="62">
                  <c:v>0</c:v>
                </c:pt>
                <c:pt idx="63">
                  <c:v>0</c:v>
                </c:pt>
                <c:pt idx="64">
                  <c:v>6</c:v>
                </c:pt>
                <c:pt idx="65">
                  <c:v>2</c:v>
                </c:pt>
                <c:pt idx="66">
                  <c:v>0</c:v>
                </c:pt>
                <c:pt idx="67">
                  <c:v>0</c:v>
                </c:pt>
                <c:pt idx="68">
                  <c:v>0</c:v>
                </c:pt>
                <c:pt idx="69">
                  <c:v>0</c:v>
                </c:pt>
                <c:pt idx="70">
                  <c:v>6</c:v>
                </c:pt>
                <c:pt idx="71">
                  <c:v>2</c:v>
                </c:pt>
                <c:pt idx="72">
                  <c:v>0</c:v>
                </c:pt>
                <c:pt idx="73">
                  <c:v>0</c:v>
                </c:pt>
                <c:pt idx="74">
                  <c:v>5</c:v>
                </c:pt>
              </c:numCache>
            </c:numRef>
          </c:val>
          <c:smooth val="0"/>
          <c:extLst>
            <c:ext xmlns:c16="http://schemas.microsoft.com/office/drawing/2014/chart" uri="{C3380CC4-5D6E-409C-BE32-E72D297353CC}">
              <c16:uniqueId val="{00000001-4729-0E4B-81F2-D6B3EBA042B2}"/>
            </c:ext>
          </c:extLst>
        </c:ser>
        <c:dLbls>
          <c:showLegendKey val="0"/>
          <c:showVal val="0"/>
          <c:showCatName val="0"/>
          <c:showSerName val="0"/>
          <c:showPercent val="0"/>
          <c:showBubbleSize val="0"/>
        </c:dLbls>
        <c:marker val="1"/>
        <c:smooth val="0"/>
        <c:axId val="1777405472"/>
        <c:axId val="1777407152"/>
      </c:lineChart>
      <c:dateAx>
        <c:axId val="1777405472"/>
        <c:scaling>
          <c:orientation val="minMax"/>
        </c:scaling>
        <c:delete val="0"/>
        <c:axPos val="b"/>
        <c:numFmt formatCode="m/d/yy" sourceLinked="1"/>
        <c:majorTickMark val="out"/>
        <c:minorTickMark val="none"/>
        <c:tickLblPos val="nextTo"/>
        <c:crossAx val="1777407152"/>
        <c:crosses val="autoZero"/>
        <c:auto val="1"/>
        <c:lblOffset val="100"/>
        <c:baseTimeUnit val="days"/>
      </c:dateAx>
      <c:valAx>
        <c:axId val="1777407152"/>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777405472"/>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322-6748-BC62-5F87B2407FF0}"/>
            </c:ext>
          </c:extLst>
        </c:ser>
        <c:dLbls>
          <c:showLegendKey val="0"/>
          <c:showVal val="0"/>
          <c:showCatName val="0"/>
          <c:showSerName val="0"/>
          <c:showPercent val="0"/>
          <c:showBubbleSize val="0"/>
        </c:dLbls>
        <c:marker val="1"/>
        <c:smooth val="0"/>
        <c:axId val="287710911"/>
        <c:axId val="287712559"/>
      </c:lineChart>
      <c:dateAx>
        <c:axId val="287710911"/>
        <c:scaling>
          <c:orientation val="minMax"/>
        </c:scaling>
        <c:delete val="0"/>
        <c:axPos val="b"/>
        <c:numFmt formatCode="m/d/yy" sourceLinked="1"/>
        <c:majorTickMark val="out"/>
        <c:minorTickMark val="none"/>
        <c:tickLblPos val="nextTo"/>
        <c:crossAx val="287712559"/>
        <c:crosses val="autoZero"/>
        <c:auto val="1"/>
        <c:lblOffset val="100"/>
        <c:baseTimeUnit val="days"/>
      </c:dateAx>
      <c:valAx>
        <c:axId val="287712559"/>
        <c:scaling>
          <c:orientation val="minMax"/>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287710911"/>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43B4-8345-8760-BC6D21EB4F87}"/>
            </c:ext>
          </c:extLst>
        </c:ser>
        <c:dLbls>
          <c:showLegendKey val="0"/>
          <c:showVal val="0"/>
          <c:showCatName val="0"/>
          <c:showSerName val="0"/>
          <c:showPercent val="0"/>
          <c:showBubbleSize val="0"/>
        </c:dLbls>
        <c:marker val="1"/>
        <c:smooth val="0"/>
        <c:axId val="249887743"/>
        <c:axId val="249892639"/>
      </c:lineChart>
      <c:dateAx>
        <c:axId val="249887743"/>
        <c:scaling>
          <c:orientation val="minMax"/>
        </c:scaling>
        <c:delete val="0"/>
        <c:axPos val="b"/>
        <c:numFmt formatCode="m/d/yy" sourceLinked="1"/>
        <c:majorTickMark val="out"/>
        <c:minorTickMark val="none"/>
        <c:tickLblPos val="nextTo"/>
        <c:crossAx val="249892639"/>
        <c:crosses val="autoZero"/>
        <c:auto val="1"/>
        <c:lblOffset val="100"/>
        <c:baseTimeUnit val="days"/>
      </c:dateAx>
      <c:valAx>
        <c:axId val="249892639"/>
        <c:scaling>
          <c:orientation val="minMax"/>
          <c:max val="0.29166666000000002"/>
          <c:min val="0"/>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249887743"/>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9A58-8F41-BF40-9107630B8FD7}"/>
            </c:ext>
          </c:extLst>
        </c:ser>
        <c:dLbls>
          <c:showLegendKey val="0"/>
          <c:showVal val="0"/>
          <c:showCatName val="0"/>
          <c:showSerName val="0"/>
          <c:showPercent val="0"/>
          <c:showBubbleSize val="0"/>
        </c:dLbls>
        <c:marker val="1"/>
        <c:smooth val="0"/>
        <c:axId val="270514607"/>
        <c:axId val="270516287"/>
      </c:lineChart>
      <c:dateAx>
        <c:axId val="270514607"/>
        <c:scaling>
          <c:orientation val="minMax"/>
        </c:scaling>
        <c:delete val="0"/>
        <c:axPos val="b"/>
        <c:numFmt formatCode="m/d/yy" sourceLinked="1"/>
        <c:majorTickMark val="out"/>
        <c:minorTickMark val="none"/>
        <c:tickLblPos val="nextTo"/>
        <c:crossAx val="270516287"/>
        <c:crosses val="autoZero"/>
        <c:auto val="1"/>
        <c:lblOffset val="100"/>
        <c:baseTimeUnit val="days"/>
      </c:dateAx>
      <c:valAx>
        <c:axId val="270516287"/>
        <c:scaling>
          <c:orientation val="minMax"/>
          <c:max val="0.16666600000000001"/>
          <c:min val="0"/>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27051460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257D-D842-94D1-1C0EBB52222A}"/>
            </c:ext>
          </c:extLst>
        </c:ser>
        <c:dLbls>
          <c:showLegendKey val="0"/>
          <c:showVal val="0"/>
          <c:showCatName val="0"/>
          <c:showSerName val="0"/>
          <c:showPercent val="0"/>
          <c:showBubbleSize val="0"/>
        </c:dLbls>
        <c:marker val="1"/>
        <c:smooth val="0"/>
        <c:axId val="287776191"/>
        <c:axId val="287777871"/>
      </c:lineChart>
      <c:dateAx>
        <c:axId val="287776191"/>
        <c:scaling>
          <c:orientation val="minMax"/>
        </c:scaling>
        <c:delete val="0"/>
        <c:axPos val="b"/>
        <c:numFmt formatCode="m/d/yy" sourceLinked="1"/>
        <c:majorTickMark val="out"/>
        <c:minorTickMark val="none"/>
        <c:tickLblPos val="nextTo"/>
        <c:crossAx val="287777871"/>
        <c:crosses val="autoZero"/>
        <c:auto val="1"/>
        <c:lblOffset val="100"/>
        <c:baseTimeUnit val="days"/>
      </c:dateAx>
      <c:valAx>
        <c:axId val="287777871"/>
        <c:scaling>
          <c:orientation val="minMax"/>
          <c:max val="0.125"/>
          <c:min val="0"/>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287776191"/>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308-E04D-B0CB-0571D879B781}"/>
            </c:ext>
          </c:extLst>
        </c:ser>
        <c:dLbls>
          <c:showLegendKey val="0"/>
          <c:showVal val="0"/>
          <c:showCatName val="0"/>
          <c:showSerName val="0"/>
          <c:showPercent val="0"/>
          <c:showBubbleSize val="0"/>
        </c:dLbls>
        <c:marker val="1"/>
        <c:smooth val="0"/>
        <c:axId val="1786835824"/>
        <c:axId val="1786837504"/>
      </c:lineChart>
      <c:dateAx>
        <c:axId val="1786835824"/>
        <c:scaling>
          <c:orientation val="minMax"/>
        </c:scaling>
        <c:delete val="0"/>
        <c:axPos val="b"/>
        <c:numFmt formatCode="m/d/yy" sourceLinked="1"/>
        <c:majorTickMark val="out"/>
        <c:minorTickMark val="none"/>
        <c:tickLblPos val="nextTo"/>
        <c:crossAx val="1786837504"/>
        <c:crosses val="autoZero"/>
        <c:auto val="1"/>
        <c:lblOffset val="100"/>
        <c:baseTimeUnit val="days"/>
      </c:dateAx>
      <c:valAx>
        <c:axId val="1786837504"/>
        <c:scaling>
          <c:orientation val="minMax"/>
          <c:max val="8.3333329999999997E-2"/>
          <c:min val="0"/>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1786835824"/>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Home!$A$5</c:f>
          <c:strCache>
            <c:ptCount val="1"/>
            <c:pt idx="0">
              <c:v>Hitting Self</c:v>
            </c:pt>
          </c:strCache>
        </c:strRef>
      </c:tx>
      <c:overlay val="0"/>
    </c:title>
    <c:autoTitleDeleted val="0"/>
    <c:plotArea>
      <c:layout/>
      <c:lineChart>
        <c:grouping val="standard"/>
        <c:varyColors val="0"/>
        <c:ser>
          <c:idx val="0"/>
          <c:order val="0"/>
          <c:tx>
            <c:strRef>
              <c:f>Home!$A$5</c:f>
              <c:strCache>
                <c:ptCount val="1"/>
                <c:pt idx="0">
                  <c:v>Hitting Self</c:v>
                </c:pt>
              </c:strCache>
            </c:strRef>
          </c:tx>
          <c:spPr>
            <a:ln w="19050" cap="rnd" cmpd="sng" algn="ctr">
              <a:solidFill>
                <a:sysClr val="windowText" lastClr="000000">
                  <a:lumMod val="100000"/>
                </a:sysClr>
              </a:solidFill>
              <a:prstDash val="solid"/>
              <a:round/>
              <a:headEnd type="none" w="med" len="med"/>
              <a:tailEnd type="none" w="med" len="med"/>
            </a:ln>
          </c:spPr>
          <c:marker>
            <c:spPr>
              <a:solidFill>
                <a:srgbClr val="000000"/>
              </a:solidFill>
              <a:ln w="19050" cap="rnd" cmpd="sng" algn="ctr">
                <a:solidFill>
                  <a:sysClr val="windowText" lastClr="000000">
                    <a:lumMod val="100000"/>
                  </a:sysClr>
                </a:solidFill>
                <a:prstDash val="solid"/>
                <a:round/>
                <a:headEnd type="none" w="med" len="med"/>
                <a:tailEnd type="none" w="med" len="med"/>
              </a:ln>
            </c:spPr>
          </c:marker>
          <c:trendline>
            <c:name>Trendline</c:name>
            <c:trendlineType val="linear"/>
            <c:dispRSqr val="0"/>
            <c:dispEq val="0"/>
          </c:trendline>
          <c:cat>
            <c:numRef>
              <c:f>[0]!chart_Dates</c:f>
              <c:numCache>
                <c:formatCode>m/d/yy</c:formatCode>
                <c:ptCount val="75"/>
                <c:pt idx="0">
                  <c:v>44246</c:v>
                </c:pt>
                <c:pt idx="1">
                  <c:v>44249</c:v>
                </c:pt>
                <c:pt idx="2">
                  <c:v>44250</c:v>
                </c:pt>
                <c:pt idx="3">
                  <c:v>44251</c:v>
                </c:pt>
                <c:pt idx="4">
                  <c:v>44252</c:v>
                </c:pt>
                <c:pt idx="5">
                  <c:v>44253</c:v>
                </c:pt>
                <c:pt idx="6">
                  <c:v>44256</c:v>
                </c:pt>
                <c:pt idx="7">
                  <c:v>44257</c:v>
                </c:pt>
                <c:pt idx="8">
                  <c:v>44258</c:v>
                </c:pt>
                <c:pt idx="9">
                  <c:v>44259</c:v>
                </c:pt>
                <c:pt idx="10">
                  <c:v>44260</c:v>
                </c:pt>
                <c:pt idx="11">
                  <c:v>44263</c:v>
                </c:pt>
                <c:pt idx="12">
                  <c:v>44264</c:v>
                </c:pt>
                <c:pt idx="13">
                  <c:v>44265</c:v>
                </c:pt>
                <c:pt idx="14">
                  <c:v>44266</c:v>
                </c:pt>
                <c:pt idx="15">
                  <c:v>44270</c:v>
                </c:pt>
                <c:pt idx="16">
                  <c:v>44271</c:v>
                </c:pt>
                <c:pt idx="17">
                  <c:v>44272</c:v>
                </c:pt>
                <c:pt idx="18">
                  <c:v>44273</c:v>
                </c:pt>
                <c:pt idx="19">
                  <c:v>44279</c:v>
                </c:pt>
                <c:pt idx="20">
                  <c:v>44281</c:v>
                </c:pt>
                <c:pt idx="21">
                  <c:v>44284</c:v>
                </c:pt>
                <c:pt idx="22">
                  <c:v>44285</c:v>
                </c:pt>
                <c:pt idx="23">
                  <c:v>44286</c:v>
                </c:pt>
                <c:pt idx="24">
                  <c:v>44287</c:v>
                </c:pt>
                <c:pt idx="25">
                  <c:v>44288</c:v>
                </c:pt>
                <c:pt idx="26">
                  <c:v>44291</c:v>
                </c:pt>
                <c:pt idx="27">
                  <c:v>44292</c:v>
                </c:pt>
                <c:pt idx="28">
                  <c:v>44293</c:v>
                </c:pt>
                <c:pt idx="29">
                  <c:v>44294</c:v>
                </c:pt>
                <c:pt idx="30">
                  <c:v>44295</c:v>
                </c:pt>
                <c:pt idx="31">
                  <c:v>44298</c:v>
                </c:pt>
                <c:pt idx="32">
                  <c:v>44299</c:v>
                </c:pt>
                <c:pt idx="33">
                  <c:v>44300</c:v>
                </c:pt>
                <c:pt idx="34">
                  <c:v>44301</c:v>
                </c:pt>
                <c:pt idx="35">
                  <c:v>44302</c:v>
                </c:pt>
                <c:pt idx="36">
                  <c:v>44307</c:v>
                </c:pt>
                <c:pt idx="37">
                  <c:v>44308</c:v>
                </c:pt>
                <c:pt idx="38">
                  <c:v>44309</c:v>
                </c:pt>
                <c:pt idx="39">
                  <c:v>44312</c:v>
                </c:pt>
                <c:pt idx="40">
                  <c:v>44313</c:v>
                </c:pt>
                <c:pt idx="41">
                  <c:v>44314</c:v>
                </c:pt>
                <c:pt idx="42">
                  <c:v>44315</c:v>
                </c:pt>
                <c:pt idx="43">
                  <c:v>44316</c:v>
                </c:pt>
                <c:pt idx="44">
                  <c:v>44319</c:v>
                </c:pt>
                <c:pt idx="45">
                  <c:v>44320</c:v>
                </c:pt>
                <c:pt idx="46">
                  <c:v>44321</c:v>
                </c:pt>
                <c:pt idx="47">
                  <c:v>44323</c:v>
                </c:pt>
                <c:pt idx="48">
                  <c:v>44326</c:v>
                </c:pt>
                <c:pt idx="49">
                  <c:v>44327</c:v>
                </c:pt>
                <c:pt idx="50">
                  <c:v>44328</c:v>
                </c:pt>
                <c:pt idx="51">
                  <c:v>44334</c:v>
                </c:pt>
                <c:pt idx="52">
                  <c:v>44335</c:v>
                </c:pt>
                <c:pt idx="53">
                  <c:v>44336</c:v>
                </c:pt>
                <c:pt idx="54">
                  <c:v>44337</c:v>
                </c:pt>
                <c:pt idx="55">
                  <c:v>44338</c:v>
                </c:pt>
                <c:pt idx="56">
                  <c:v>44340</c:v>
                </c:pt>
                <c:pt idx="57">
                  <c:v>44341</c:v>
                </c:pt>
                <c:pt idx="58">
                  <c:v>44342</c:v>
                </c:pt>
                <c:pt idx="59">
                  <c:v>44343</c:v>
                </c:pt>
                <c:pt idx="60">
                  <c:v>44344</c:v>
                </c:pt>
                <c:pt idx="61">
                  <c:v>44348</c:v>
                </c:pt>
                <c:pt idx="62">
                  <c:v>44349</c:v>
                </c:pt>
                <c:pt idx="63">
                  <c:v>44350</c:v>
                </c:pt>
                <c:pt idx="64">
                  <c:v>44351</c:v>
                </c:pt>
                <c:pt idx="65">
                  <c:v>44354</c:v>
                </c:pt>
                <c:pt idx="66">
                  <c:v>44355</c:v>
                </c:pt>
                <c:pt idx="67">
                  <c:v>44356</c:v>
                </c:pt>
                <c:pt idx="68">
                  <c:v>44357</c:v>
                </c:pt>
                <c:pt idx="69">
                  <c:v>44358</c:v>
                </c:pt>
                <c:pt idx="70">
                  <c:v>44361</c:v>
                </c:pt>
                <c:pt idx="71">
                  <c:v>44363</c:v>
                </c:pt>
                <c:pt idx="72">
                  <c:v>44364</c:v>
                </c:pt>
                <c:pt idx="73">
                  <c:v>44365</c:v>
                </c:pt>
                <c:pt idx="74">
                  <c:v>44375</c:v>
                </c:pt>
              </c:numCache>
            </c:numRef>
          </c:cat>
          <c:val>
            <c:numRef>
              <c:f>[0]!chart_Duration</c:f>
              <c:numCache>
                <c:formatCode>h:mm:ss;@</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8DC1-4D49-8CAD-A8B274B9DAB6}"/>
            </c:ext>
          </c:extLst>
        </c:ser>
        <c:dLbls>
          <c:showLegendKey val="0"/>
          <c:showVal val="0"/>
          <c:showCatName val="0"/>
          <c:showSerName val="0"/>
          <c:showPercent val="0"/>
          <c:showBubbleSize val="0"/>
        </c:dLbls>
        <c:marker val="1"/>
        <c:smooth val="0"/>
        <c:axId val="287869999"/>
        <c:axId val="287871679"/>
      </c:lineChart>
      <c:dateAx>
        <c:axId val="287869999"/>
        <c:scaling>
          <c:orientation val="minMax"/>
        </c:scaling>
        <c:delete val="0"/>
        <c:axPos val="b"/>
        <c:numFmt formatCode="m/d/yy" sourceLinked="1"/>
        <c:majorTickMark val="out"/>
        <c:minorTickMark val="none"/>
        <c:tickLblPos val="nextTo"/>
        <c:crossAx val="287871679"/>
        <c:crosses val="autoZero"/>
        <c:auto val="1"/>
        <c:lblOffset val="100"/>
        <c:baseTimeUnit val="days"/>
      </c:dateAx>
      <c:valAx>
        <c:axId val="287871679"/>
        <c:scaling>
          <c:orientation val="minMax"/>
          <c:max val="4.1666666599999999E-2"/>
          <c:min val="0"/>
        </c:scaling>
        <c:delete val="0"/>
        <c:axPos val="l"/>
        <c:title>
          <c:tx>
            <c:rich>
              <a:bodyPr/>
              <a:lstStyle/>
              <a:p>
                <a:pPr>
                  <a:defRPr/>
                </a:pPr>
                <a:r>
                  <a:rPr lang="en-US"/>
                  <a:t>Duration (hh:mm:ss)</a:t>
                </a:r>
              </a:p>
            </c:rich>
          </c:tx>
          <c:overlay val="0"/>
        </c:title>
        <c:numFmt formatCode="h:mm:ss;@" sourceLinked="1"/>
        <c:majorTickMark val="out"/>
        <c:minorTickMark val="none"/>
        <c:tickLblPos val="nextTo"/>
        <c:crossAx val="28786999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18</xdr:col>
      <xdr:colOff>368300</xdr:colOff>
      <xdr:row>16</xdr:row>
      <xdr:rowOff>76200</xdr:rowOff>
    </xdr:to>
    <xdr:graphicFrame macro="">
      <xdr:nvGraphicFramePr>
        <xdr:cNvPr id="2" name="Frequency_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20</xdr:row>
      <xdr:rowOff>0</xdr:rowOff>
    </xdr:from>
    <xdr:to>
      <xdr:col>18</xdr:col>
      <xdr:colOff>368300</xdr:colOff>
      <xdr:row>33</xdr:row>
      <xdr:rowOff>101600</xdr:rowOff>
    </xdr:to>
    <xdr:graphicFrame macro="">
      <xdr:nvGraphicFramePr>
        <xdr:cNvPr id="3" name="Duration_Chart">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37</xdr:row>
      <xdr:rowOff>0</xdr:rowOff>
    </xdr:from>
    <xdr:to>
      <xdr:col>18</xdr:col>
      <xdr:colOff>368300</xdr:colOff>
      <xdr:row>50</xdr:row>
      <xdr:rowOff>101600</xdr:rowOff>
    </xdr:to>
    <xdr:graphicFrame macro="">
      <xdr:nvGraphicFramePr>
        <xdr:cNvPr id="4" name="Duration_Chart_7">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54</xdr:row>
      <xdr:rowOff>0</xdr:rowOff>
    </xdr:from>
    <xdr:to>
      <xdr:col>18</xdr:col>
      <xdr:colOff>368300</xdr:colOff>
      <xdr:row>67</xdr:row>
      <xdr:rowOff>101600</xdr:rowOff>
    </xdr:to>
    <xdr:graphicFrame macro="">
      <xdr:nvGraphicFramePr>
        <xdr:cNvPr id="5" name="Duration_Chart_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71</xdr:row>
      <xdr:rowOff>0</xdr:rowOff>
    </xdr:from>
    <xdr:to>
      <xdr:col>18</xdr:col>
      <xdr:colOff>368300</xdr:colOff>
      <xdr:row>84</xdr:row>
      <xdr:rowOff>101600</xdr:rowOff>
    </xdr:to>
    <xdr:graphicFrame macro="">
      <xdr:nvGraphicFramePr>
        <xdr:cNvPr id="6" name="Duration_Chart_3">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88</xdr:row>
      <xdr:rowOff>0</xdr:rowOff>
    </xdr:from>
    <xdr:to>
      <xdr:col>18</xdr:col>
      <xdr:colOff>368300</xdr:colOff>
      <xdr:row>101</xdr:row>
      <xdr:rowOff>101600</xdr:rowOff>
    </xdr:to>
    <xdr:graphicFrame macro="">
      <xdr:nvGraphicFramePr>
        <xdr:cNvPr id="7" name="Duration_Chart_2">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105</xdr:row>
      <xdr:rowOff>0</xdr:rowOff>
    </xdr:from>
    <xdr:to>
      <xdr:col>18</xdr:col>
      <xdr:colOff>368300</xdr:colOff>
      <xdr:row>118</xdr:row>
      <xdr:rowOff>101600</xdr:rowOff>
    </xdr:to>
    <xdr:graphicFrame macro="">
      <xdr:nvGraphicFramePr>
        <xdr:cNvPr id="8" name="Duration_Chart_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8</xdr:col>
          <xdr:colOff>241300</xdr:colOff>
          <xdr:row>17</xdr:row>
          <xdr:rowOff>63500</xdr:rowOff>
        </xdr:from>
        <xdr:to>
          <xdr:col>10</xdr:col>
          <xdr:colOff>685800</xdr:colOff>
          <xdr:row>19</xdr:row>
          <xdr:rowOff>38100</xdr:rowOff>
        </xdr:to>
        <xdr:sp macro="" textlink="">
          <xdr:nvSpPr>
            <xdr:cNvPr id="2050" name="Trendline_On"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Trendlines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20</xdr:row>
          <xdr:rowOff>50800</xdr:rowOff>
        </xdr:from>
        <xdr:to>
          <xdr:col>10</xdr:col>
          <xdr:colOff>673100</xdr:colOff>
          <xdr:row>22</xdr:row>
          <xdr:rowOff>50800</xdr:rowOff>
        </xdr:to>
        <xdr:sp macro="" textlink="">
          <xdr:nvSpPr>
            <xdr:cNvPr id="2051" name="Trendline_Off"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Trendlines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22</xdr:row>
          <xdr:rowOff>127000</xdr:rowOff>
        </xdr:from>
        <xdr:to>
          <xdr:col>2</xdr:col>
          <xdr:colOff>520700</xdr:colOff>
          <xdr:row>24</xdr:row>
          <xdr:rowOff>114300</xdr:rowOff>
        </xdr:to>
        <xdr:sp macro="" textlink="">
          <xdr:nvSpPr>
            <xdr:cNvPr id="2052" name="Pull_BX_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Frequency Behavior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25</xdr:row>
          <xdr:rowOff>88900</xdr:rowOff>
        </xdr:from>
        <xdr:to>
          <xdr:col>2</xdr:col>
          <xdr:colOff>546100</xdr:colOff>
          <xdr:row>27</xdr:row>
          <xdr:rowOff>63500</xdr:rowOff>
        </xdr:to>
        <xdr:sp macro="" textlink="">
          <xdr:nvSpPr>
            <xdr:cNvPr id="2053" name="Pull_BX_2"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Frequency Behavior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28</xdr:row>
          <xdr:rowOff>12700</xdr:rowOff>
        </xdr:from>
        <xdr:to>
          <xdr:col>2</xdr:col>
          <xdr:colOff>546100</xdr:colOff>
          <xdr:row>30</xdr:row>
          <xdr:rowOff>12700</xdr:rowOff>
        </xdr:to>
        <xdr:sp macro="" textlink="">
          <xdr:nvSpPr>
            <xdr:cNvPr id="2054" name="Pull_BX_3"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Frequency Behavior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31</xdr:row>
          <xdr:rowOff>25400</xdr:rowOff>
        </xdr:from>
        <xdr:to>
          <xdr:col>2</xdr:col>
          <xdr:colOff>546100</xdr:colOff>
          <xdr:row>33</xdr:row>
          <xdr:rowOff>0</xdr:rowOff>
        </xdr:to>
        <xdr:sp macro="" textlink="">
          <xdr:nvSpPr>
            <xdr:cNvPr id="2055" name="CombinedBXChart"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nathanbryant/Library/Mobile%20Documents/com~apple~CloudDocs/B.E.S.T./TN%20ActiveCare%20Files/Macros/Data%20Macro%20v5.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Program Data Instructions"/>
      <sheetName val="Behavior Data Instructions"/>
      <sheetName val="FAQ"/>
    </sheetNames>
    <definedNames>
      <definedName name="Combined_BX_Chart"/>
      <definedName name="Pull_BX_1"/>
      <definedName name="Pull_BX_2"/>
      <definedName name="Pull_BX_3"/>
      <definedName name="Trendline_Off"/>
      <definedName name="Trendline_On"/>
    </defined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E6:H501" totalsRowShown="0" headerRowDxfId="7" dataDxfId="5" headerRowBorderDxfId="6" tableBorderDxfId="4">
  <autoFilter ref="E6:H501" xr:uid="{00000000-0009-0000-0100-000001000000}"/>
  <tableColumns count="4">
    <tableColumn id="1" xr3:uid="{00000000-0010-0000-0000-000001000000}" name="Dates" dataDxfId="3"/>
    <tableColumn id="2" xr3:uid="{00000000-0010-0000-0000-000002000000}" name="Frequency" dataDxfId="2">
      <calculatedColumnFormula>IF(E7="","",SUMIFS(RawData!$M$2:$M$50000,RawData!$B$2:$B$50000,"="&amp;Home!$A$5,RawData!$D$2:$D$50000,"="&amp;Home!$E7))</calculatedColumnFormula>
    </tableColumn>
    <tableColumn id="3" xr3:uid="{00000000-0010-0000-0000-000003000000}" name="Duration (h:m:s)" dataDxfId="1">
      <calculatedColumnFormula>IF(E7="","",SUMIFS(RawData!$N$2:$N$50000,RawData!$B$2:$B$50000,"="&amp;Home!$A$5,RawData!$D$2:$D$50000,"="&amp;Home!$E7))</calculatedColumnFormula>
    </tableColumn>
    <tableColumn id="4" xr3:uid="{00000000-0010-0000-0000-000004000000}" name="Session Length (h:m:s)" dataDxfId="0">
      <calculatedColumnFormula array="1">IFERROR(SUM(IF(FREQUENCY(IF(RawData!$D$2:$D$50000=Home!E7,MATCH(RawData!$H$2:$H$50000,RawData!$H$2:$H$50000,0)),ROW(RawData!$D$2:$D$50000)-ROW(RawData!$D$2)+1),RawData!$J$2:$J$50000)),"")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503"/>
  <sheetViews>
    <sheetView tabSelected="1" zoomScale="120" zoomScaleNormal="120" workbookViewId="0">
      <selection activeCell="A5" sqref="A5:C5"/>
    </sheetView>
  </sheetViews>
  <sheetFormatPr baseColWidth="10" defaultRowHeight="16" x14ac:dyDescent="0.2"/>
  <cols>
    <col min="1" max="2" width="8.6640625" style="7" customWidth="1"/>
    <col min="3" max="3" width="8.83203125" style="7" customWidth="1"/>
    <col min="4" max="4" width="3" style="7" customWidth="1"/>
    <col min="5" max="5" width="10" style="7" customWidth="1"/>
    <col min="6" max="6" width="11.5" style="7" customWidth="1"/>
    <col min="7" max="7" width="16.33203125" style="7" customWidth="1"/>
    <col min="8" max="8" width="21.33203125" style="7" customWidth="1"/>
    <col min="9" max="9" width="3.33203125" style="7" customWidth="1"/>
    <col min="10" max="10" width="10.83203125" style="7"/>
    <col min="11" max="11" width="9.1640625" style="7" customWidth="1"/>
    <col min="12" max="12" width="11.1640625" style="7" customWidth="1"/>
    <col min="13" max="13" width="3" style="7" customWidth="1"/>
    <col min="14" max="14" width="11.83203125" style="7" customWidth="1"/>
    <col min="15" max="18" width="10.83203125" style="7"/>
    <col min="19" max="19" width="5.83203125" style="7" customWidth="1"/>
    <col min="20" max="16384" width="10.83203125" style="7"/>
  </cols>
  <sheetData>
    <row r="1" spans="1:25" x14ac:dyDescent="0.2">
      <c r="E1" s="104" t="str">
        <f>"Behavior Data Report for " &amp;RawData!A2&amp;""</f>
        <v>Behavior Data Report for John Doe</v>
      </c>
      <c r="F1" s="104"/>
      <c r="G1" s="104"/>
      <c r="H1" s="104"/>
      <c r="I1" s="104"/>
      <c r="J1" s="104"/>
      <c r="K1" s="104"/>
      <c r="L1" s="104"/>
      <c r="M1" s="104"/>
      <c r="N1" s="104"/>
      <c r="O1" s="104"/>
      <c r="P1" s="104"/>
    </row>
    <row r="2" spans="1:25" x14ac:dyDescent="0.2">
      <c r="E2" s="104"/>
      <c r="F2" s="104"/>
      <c r="G2" s="104"/>
      <c r="H2" s="104"/>
      <c r="I2" s="104"/>
      <c r="J2" s="104"/>
      <c r="K2" s="104"/>
      <c r="L2" s="104"/>
      <c r="M2" s="104"/>
      <c r="N2" s="104"/>
      <c r="O2" s="104"/>
      <c r="P2" s="104"/>
    </row>
    <row r="3" spans="1:25" ht="27" thickBot="1" x14ac:dyDescent="0.25">
      <c r="F3" s="8"/>
      <c r="G3" s="8"/>
      <c r="H3" s="8"/>
      <c r="J3" s="8"/>
      <c r="K3" s="8"/>
      <c r="L3" s="8"/>
    </row>
    <row r="4" spans="1:25" ht="21" thickTop="1" thickBot="1" x14ac:dyDescent="0.3">
      <c r="A4" s="98" t="s">
        <v>147</v>
      </c>
      <c r="B4" s="99"/>
      <c r="C4" s="100"/>
      <c r="D4" s="9"/>
      <c r="E4" s="89" t="str">
        <f t="shared" ref="E4" si="0">A5&amp;" Raw Data"</f>
        <v>Hitting Self Raw Data</v>
      </c>
      <c r="F4" s="90"/>
      <c r="G4" s="90"/>
      <c r="H4" s="91"/>
      <c r="J4" s="89" t="str">
        <f>A5&amp; " Summary"</f>
        <v>Hitting Self Summary</v>
      </c>
      <c r="K4" s="90"/>
      <c r="L4" s="91"/>
      <c r="N4" s="14" t="s">
        <v>146</v>
      </c>
      <c r="U4" s="69" t="s">
        <v>170</v>
      </c>
      <c r="V4" s="70"/>
      <c r="W4" s="70"/>
      <c r="X4" s="70"/>
      <c r="Y4" s="71"/>
    </row>
    <row r="5" spans="1:25" ht="21" customHeight="1" thickTop="1" thickBot="1" x14ac:dyDescent="0.3">
      <c r="A5" s="101" t="s">
        <v>115</v>
      </c>
      <c r="B5" s="102"/>
      <c r="C5" s="103"/>
      <c r="D5" s="10"/>
      <c r="E5" s="92"/>
      <c r="F5" s="93"/>
      <c r="G5" s="93"/>
      <c r="H5" s="94"/>
      <c r="J5" s="95"/>
      <c r="K5" s="96"/>
      <c r="L5" s="97"/>
      <c r="U5" s="72" t="s">
        <v>171</v>
      </c>
      <c r="V5" s="73"/>
      <c r="W5" s="73"/>
      <c r="X5" s="73"/>
      <c r="Y5" s="74"/>
    </row>
    <row r="6" spans="1:25" ht="21" thickTop="1" thickBot="1" x14ac:dyDescent="0.25">
      <c r="A6" s="105" t="s">
        <v>148</v>
      </c>
      <c r="B6" s="106"/>
      <c r="C6" s="107"/>
      <c r="D6" s="11"/>
      <c r="E6" s="15" t="s">
        <v>151</v>
      </c>
      <c r="F6" s="16" t="s">
        <v>16</v>
      </c>
      <c r="G6" s="16" t="s">
        <v>152</v>
      </c>
      <c r="H6" s="17" t="s">
        <v>153</v>
      </c>
      <c r="J6" s="18" t="s">
        <v>154</v>
      </c>
      <c r="K6" s="84" t="str">
        <f>IFERROR(VLOOKUP(A5,RawData!B1:C5000,2),"")</f>
        <v>Frequency</v>
      </c>
      <c r="L6" s="85"/>
      <c r="U6" s="67" t="s">
        <v>102</v>
      </c>
      <c r="V6" s="68"/>
      <c r="W6" s="68"/>
      <c r="X6" s="39">
        <f>COUNTIFS(RawData!$O$2:$O$50000,"="&amp;Home!$U6,RawData!$B$2:$B$50000,"="&amp;Home!$A$5)</f>
        <v>10</v>
      </c>
      <c r="Y6" s="41">
        <f t="shared" ref="Y6:Y11" si="1">IFERROR($X6/SUM($X$6:$X$11),"")</f>
        <v>0.23255813953488372</v>
      </c>
    </row>
    <row r="7" spans="1:25" ht="18" thickTop="1" thickBot="1" x14ac:dyDescent="0.25">
      <c r="A7" s="81">
        <v>44246</v>
      </c>
      <c r="B7" s="82"/>
      <c r="C7" s="83"/>
      <c r="D7" s="12"/>
      <c r="E7" s="20">
        <v>44207</v>
      </c>
      <c r="F7" s="21">
        <f>IF(E7="","",SUMIFS(RawData!$M$2:$M$50000,RawData!$B$2:$B$50000,"="&amp;Home!$A$5,RawData!$D$2:$D$50000,"="&amp;Home!$E7))</f>
        <v>0</v>
      </c>
      <c r="G7" s="22">
        <f>IF(E7="","",SUMIFS(RawData!$N$2:$N$50000,RawData!$B$2:$B$50000,"="&amp;Home!$A$5,RawData!$D$2:$D$50000,"="&amp;Home!$E7))</f>
        <v>0</v>
      </c>
      <c r="H7" s="23">
        <f t="array" ref="H7">IFERROR(SUM(IF(FREQUENCY(IF(RawData!$D$2:$D$50000=Home!E7,MATCH(RawData!$H$2:$H$50000,RawData!$H$2:$H$50000,0)),ROW(RawData!$D$2:$D$50000)-ROW(RawData!$D$2)+1),RawData!$J$2:$J$50000)),"")</f>
        <v>0.125</v>
      </c>
      <c r="J7" s="86" t="s">
        <v>155</v>
      </c>
      <c r="K7" s="87"/>
      <c r="L7" s="88"/>
      <c r="U7" s="60" t="s">
        <v>103</v>
      </c>
      <c r="V7" s="61"/>
      <c r="W7" s="61"/>
      <c r="X7" s="25">
        <f>COUNTIFS(RawData!$O$2:$O$50000,"="&amp;Home!$U7,RawData!$B$2:$B$50000,"="&amp;Home!$A$5)</f>
        <v>4</v>
      </c>
      <c r="Y7" s="42">
        <f t="shared" si="1"/>
        <v>9.3023255813953487E-2</v>
      </c>
    </row>
    <row r="8" spans="1:25" ht="18" thickTop="1" thickBot="1" x14ac:dyDescent="0.25">
      <c r="A8" s="105" t="s">
        <v>149</v>
      </c>
      <c r="B8" s="106"/>
      <c r="C8" s="107"/>
      <c r="D8" s="11"/>
      <c r="E8" s="24">
        <v>44236</v>
      </c>
      <c r="F8" s="25">
        <f>IF(E8="","",SUMIFS(RawData!$M$2:$M$50000,RawData!$B$2:$B$50000,"="&amp;Home!$A$5,RawData!$D$2:$D$50000,"="&amp;Home!$E8))</f>
        <v>0</v>
      </c>
      <c r="G8" s="26">
        <f>IF(E8="","",SUMIFS(RawData!$N$2:$N$50000,RawData!$B$2:$B$50000,"="&amp;Home!$A$5,RawData!$D$2:$D$50000,"="&amp;Home!$E8))</f>
        <v>0</v>
      </c>
      <c r="H8" s="27">
        <f t="array" ref="H8">IFERROR(SUM(IF(FREQUENCY(IF(RawData!$D$2:$D$50000=Home!E8,MATCH(RawData!$H$2:$H$50000,RawData!$H$2:$H$50000,0)),ROW(RawData!$D$2:$D$50000)-ROW(RawData!$D$2)+1),RawData!$J$2:$J$50000)),"")</f>
        <v>0.25</v>
      </c>
      <c r="J8" s="33">
        <f>IF(A7="","",A7)</f>
        <v>44246</v>
      </c>
      <c r="K8" s="19" t="s">
        <v>156</v>
      </c>
      <c r="L8" s="34">
        <f>IF(A9="","",A9)</f>
        <v>44375</v>
      </c>
      <c r="U8" s="60" t="s">
        <v>85</v>
      </c>
      <c r="V8" s="61"/>
      <c r="W8" s="61"/>
      <c r="X8" s="25">
        <f>COUNTIFS(RawData!$O$2:$O$50000,"="&amp;Home!$U8,RawData!$B$2:$B$50000,"="&amp;Home!$A$5)</f>
        <v>2</v>
      </c>
      <c r="Y8" s="42">
        <f t="shared" si="1"/>
        <v>4.6511627906976744E-2</v>
      </c>
    </row>
    <row r="9" spans="1:25" ht="18" thickTop="1" thickBot="1" x14ac:dyDescent="0.25">
      <c r="A9" s="81">
        <v>44375</v>
      </c>
      <c r="B9" s="82"/>
      <c r="C9" s="83"/>
      <c r="D9" s="12"/>
      <c r="E9" s="24">
        <v>44237</v>
      </c>
      <c r="F9" s="25">
        <f>IF(E9="","",SUMIFS(RawData!$M$2:$M$50000,RawData!$B$2:$B$50000,"="&amp;Home!$A$5,RawData!$D$2:$D$50000,"="&amp;Home!$E9))</f>
        <v>0</v>
      </c>
      <c r="G9" s="26">
        <f>IF(E9="","",SUMIFS(RawData!$N$2:$N$50000,RawData!$B$2:$B$50000,"="&amp;Home!$A$5,RawData!$D$2:$D$50000,"="&amp;Home!$E9))</f>
        <v>0</v>
      </c>
      <c r="H9" s="27">
        <f t="array" ref="H9">IFERROR(SUM(IF(FREQUENCY(IF(RawData!$D$2:$D$50000=Home!E9,MATCH(RawData!$H$2:$H$50000,RawData!$H$2:$H$50000,0)),ROW(RawData!$D$2:$D$50000)-ROW(RawData!$D$2)+1),RawData!$J$2:$J$50000)),"")</f>
        <v>0.125</v>
      </c>
      <c r="J9" s="75" t="s">
        <v>157</v>
      </c>
      <c r="K9" s="76"/>
      <c r="L9" s="35">
        <f>COUNTIFS(E6:E501, "&gt;="&amp;A7, E6:E501, "&lt;="&amp;A9)</f>
        <v>75</v>
      </c>
      <c r="U9" s="60" t="s">
        <v>88</v>
      </c>
      <c r="V9" s="61"/>
      <c r="W9" s="61"/>
      <c r="X9" s="25">
        <f>COUNTIFS(RawData!$O$2:$O$50000,"="&amp;Home!$U9,RawData!$B$2:$B$50000,"="&amp;Home!$A$5)</f>
        <v>4</v>
      </c>
      <c r="Y9" s="42">
        <f t="shared" si="1"/>
        <v>9.3023255813953487E-2</v>
      </c>
    </row>
    <row r="10" spans="1:25" ht="17" thickTop="1" x14ac:dyDescent="0.2">
      <c r="E10" s="24">
        <v>44238</v>
      </c>
      <c r="F10" s="25">
        <f>IF(E10="","",SUMIFS(RawData!$M$2:$M$50000,RawData!$B$2:$B$50000,"="&amp;Home!$A$5,RawData!$D$2:$D$50000,"="&amp;Home!$E10))</f>
        <v>0</v>
      </c>
      <c r="G10" s="26">
        <f>IF(E10="","",SUMIFS(RawData!$N$2:$N$50000,RawData!$B$2:$B$50000,"="&amp;Home!$A$5,RawData!$D$2:$D$50000,"="&amp;Home!$E10))</f>
        <v>0</v>
      </c>
      <c r="H10" s="27">
        <f t="array" ref="H10">IFERROR(SUM(IF(FREQUENCY(IF(RawData!$D$2:$D$50000=Home!E10,MATCH(RawData!$H$2:$H$50000,RawData!$H$2:$H$50000,0)),ROW(RawData!$D$2:$D$50000)-ROW(RawData!$D$2)+1),RawData!$J$2:$J$50000)),"")</f>
        <v>0.25</v>
      </c>
      <c r="J10" s="75" t="s">
        <v>158</v>
      </c>
      <c r="K10" s="76"/>
      <c r="L10" s="36">
        <f>SUMIFS(H6:H501,E6:E501,"&gt;="&amp;A7,E6:E501,"&lt;="&amp;A9)</f>
        <v>15.038888888906513</v>
      </c>
      <c r="U10" s="60" t="s">
        <v>118</v>
      </c>
      <c r="V10" s="61"/>
      <c r="W10" s="61"/>
      <c r="X10" s="25">
        <f>COUNTIFS(RawData!$O$2:$O$50000,"="&amp;Home!$U10,RawData!$B$2:$B$50000,"="&amp;Home!$A$5)</f>
        <v>5</v>
      </c>
      <c r="Y10" s="42">
        <f t="shared" si="1"/>
        <v>0.11627906976744186</v>
      </c>
    </row>
    <row r="11" spans="1:25" ht="17" thickBot="1" x14ac:dyDescent="0.25">
      <c r="E11" s="24">
        <v>44239</v>
      </c>
      <c r="F11" s="25">
        <f>IF(E11="","",SUMIFS(RawData!$M$2:$M$50000,RawData!$B$2:$B$50000,"="&amp;Home!$A$5,RawData!$D$2:$D$50000,"="&amp;Home!$E11))</f>
        <v>0</v>
      </c>
      <c r="G11" s="26">
        <f>IF(E11="","",SUMIFS(RawData!$N$2:$N$50000,RawData!$B$2:$B$50000,"="&amp;Home!$A$5,RawData!$D$2:$D$50000,"="&amp;Home!$E11))</f>
        <v>0</v>
      </c>
      <c r="H11" s="27">
        <f t="array" ref="H11">IFERROR(SUM(IF(FREQUENCY(IF(RawData!$D$2:$D$50000=Home!E11,MATCH(RawData!$H$2:$H$50000,RawData!$H$2:$H$50000,0)),ROW(RawData!$D$2:$D$50000)-ROW(RawData!$D$2)+1),RawData!$J$2:$J$50000)),"")</f>
        <v>0.125</v>
      </c>
      <c r="J11" s="75" t="s">
        <v>159</v>
      </c>
      <c r="K11" s="76"/>
      <c r="L11" s="35">
        <f>SUMIFS(F6:F501,E6:E501,"&gt;="&amp;A7,E6:E501,"&lt;="&amp;A9)</f>
        <v>1058</v>
      </c>
      <c r="U11" s="62" t="s">
        <v>93</v>
      </c>
      <c r="V11" s="63"/>
      <c r="W11" s="63"/>
      <c r="X11" s="40">
        <f>COUNTIFS(RawData!$O$2:$O$50000,"="&amp;Home!$U11,RawData!$B$2:$B$50000,"="&amp;Home!$A$5)</f>
        <v>18</v>
      </c>
      <c r="Y11" s="43">
        <f t="shared" si="1"/>
        <v>0.41860465116279072</v>
      </c>
    </row>
    <row r="12" spans="1:25" ht="21" thickTop="1" thickBot="1" x14ac:dyDescent="0.3">
      <c r="E12" s="24">
        <v>44242</v>
      </c>
      <c r="F12" s="25">
        <f>IF(E12="","",SUMIFS(RawData!$M$2:$M$50000,RawData!$B$2:$B$50000,"="&amp;Home!$A$5,RawData!$D$2:$D$50000,"="&amp;Home!$E12))</f>
        <v>0</v>
      </c>
      <c r="G12" s="26">
        <f>IF(E12="","",SUMIFS(RawData!$N$2:$N$50000,RawData!$B$2:$B$50000,"="&amp;Home!$A$5,RawData!$D$2:$D$50000,"="&amp;Home!$E12))</f>
        <v>0</v>
      </c>
      <c r="H12" s="27">
        <f t="array" ref="H12">IFERROR(SUM(IF(FREQUENCY(IF(RawData!$D$2:$D$50000=Home!E12,MATCH(RawData!$H$2:$H$50000,RawData!$H$2:$H$50000,0)),ROW(RawData!$D$2:$D$50000)-ROW(RawData!$D$2)+1),RawData!$J$2:$J$50000)),"")</f>
        <v>0.125</v>
      </c>
      <c r="J12" s="75" t="s">
        <v>160</v>
      </c>
      <c r="K12" s="76"/>
      <c r="L12" s="36">
        <f>SUMIFS(G6:G501, E6:E501, "&gt;="&amp;A7, E6:E501, "&lt;="&amp;A9)</f>
        <v>0</v>
      </c>
      <c r="U12" s="64" t="s">
        <v>172</v>
      </c>
      <c r="V12" s="65"/>
      <c r="W12" s="65"/>
      <c r="X12" s="65"/>
      <c r="Y12" s="66"/>
    </row>
    <row r="13" spans="1:25" ht="17" thickTop="1" x14ac:dyDescent="0.2">
      <c r="A13" s="58" t="s">
        <v>181</v>
      </c>
      <c r="B13" s="58"/>
      <c r="C13" s="58"/>
      <c r="D13" s="58"/>
      <c r="E13" s="24">
        <v>44243</v>
      </c>
      <c r="F13" s="25">
        <f>IF(E13="","",SUMIFS(RawData!$M$2:$M$50000,RawData!$B$2:$B$50000,"="&amp;Home!$A$5,RawData!$D$2:$D$50000,"="&amp;Home!$E13))</f>
        <v>0</v>
      </c>
      <c r="G13" s="26">
        <f>IF(E13="","",SUMIFS(RawData!$N$2:$N$50000,RawData!$B$2:$B$50000,"="&amp;Home!$A$5,RawData!$D$2:$D$50000,"="&amp;Home!$E13))</f>
        <v>0</v>
      </c>
      <c r="H13" s="27">
        <f t="array" ref="H13">IFERROR(SUM(IF(FREQUENCY(IF(RawData!$D$2:$D$50000=Home!E13,MATCH(RawData!$H$2:$H$50000,RawData!$H$2:$H$50000,0)),ROW(RawData!$D$2:$D$50000)-ROW(RawData!$D$2)+1),RawData!$J$2:$J$50000)),"")</f>
        <v>0.25</v>
      </c>
      <c r="J13" s="77" t="s">
        <v>161</v>
      </c>
      <c r="K13" s="78"/>
      <c r="L13" s="35">
        <f>IFERROR(L11/L9,0)</f>
        <v>14.106666666666667</v>
      </c>
      <c r="U13" s="67" t="s">
        <v>86</v>
      </c>
      <c r="V13" s="68"/>
      <c r="W13" s="68"/>
      <c r="X13" s="39">
        <f>COUNTIFS(RawData!$P$2:$P$50000,"="&amp;Home!$U13,RawData!$B$2:$B$50000,"="&amp;Home!$A$5)</f>
        <v>25</v>
      </c>
      <c r="Y13" s="41">
        <f t="shared" ref="Y13:Y21" si="2">IFERROR($X13/SUM($X$13:$X$21),"")</f>
        <v>0.6097560975609756</v>
      </c>
    </row>
    <row r="14" spans="1:25" x14ac:dyDescent="0.2">
      <c r="A14" s="58"/>
      <c r="B14" s="58"/>
      <c r="C14" s="58"/>
      <c r="D14" s="58"/>
      <c r="E14" s="24">
        <v>44244</v>
      </c>
      <c r="F14" s="25">
        <f>IF(E14="","",SUMIFS(RawData!$M$2:$M$50000,RawData!$B$2:$B$50000,"="&amp;Home!$A$5,RawData!$D$2:$D$50000,"="&amp;Home!$E14))</f>
        <v>0</v>
      </c>
      <c r="G14" s="26">
        <f>IF(E14="","",SUMIFS(RawData!$N$2:$N$50000,RawData!$B$2:$B$50000,"="&amp;Home!$A$5,RawData!$D$2:$D$50000,"="&amp;Home!$E14))</f>
        <v>0</v>
      </c>
      <c r="H14" s="27">
        <f t="array" ref="H14">IFERROR(SUM(IF(FREQUENCY(IF(RawData!$D$2:$D$50000=Home!E14,MATCH(RawData!$H$2:$H$50000,RawData!$H$2:$H$50000,0)),ROW(RawData!$D$2:$D$50000)-ROW(RawData!$D$2)+1),RawData!$J$2:$J$50000)),"")</f>
        <v>0.125</v>
      </c>
      <c r="J14" s="77" t="s">
        <v>162</v>
      </c>
      <c r="K14" s="78"/>
      <c r="L14" s="35">
        <f>IFERROR(L11/(L10*24),0)</f>
        <v>2.9312892500889181</v>
      </c>
      <c r="U14" s="60" t="s">
        <v>89</v>
      </c>
      <c r="V14" s="61"/>
      <c r="W14" s="61"/>
      <c r="X14" s="25">
        <f>COUNTIFS(RawData!$P$2:$P$50000,"="&amp;Home!$U14,RawData!$B$2:$B$50000,"="&amp;Home!$A$5)</f>
        <v>14</v>
      </c>
      <c r="Y14" s="42">
        <f t="shared" si="2"/>
        <v>0.34146341463414637</v>
      </c>
    </row>
    <row r="15" spans="1:25" x14ac:dyDescent="0.2">
      <c r="A15" s="57" t="s">
        <v>182</v>
      </c>
      <c r="E15" s="24">
        <v>44245</v>
      </c>
      <c r="F15" s="25">
        <f>IF(E15="","",SUMIFS(RawData!$M$2:$M$50000,RawData!$B$2:$B$50000,"="&amp;Home!$A$5,RawData!$D$2:$D$50000,"="&amp;Home!$E15))</f>
        <v>0</v>
      </c>
      <c r="G15" s="26">
        <f>IF(E15="","",SUMIFS(RawData!$N$2:$N$50000,RawData!$B$2:$B$50000,"="&amp;Home!$A$5,RawData!$D$2:$D$50000,"="&amp;Home!$E15))</f>
        <v>0</v>
      </c>
      <c r="H15" s="27">
        <f t="array" ref="H15">IFERROR(SUM(IF(FREQUENCY(IF(RawData!$D$2:$D$50000=Home!E15,MATCH(RawData!$H$2:$H$50000,RawData!$H$2:$H$50000,0)),ROW(RawData!$D$2:$D$50000)-ROW(RawData!$D$2)+1),RawData!$J$2:$J$50000)),"")</f>
        <v>0.19791666666424135</v>
      </c>
      <c r="J15" s="77" t="s">
        <v>163</v>
      </c>
      <c r="K15" s="78"/>
      <c r="L15" s="36">
        <f>IFERROR(L12/L9,0)</f>
        <v>0</v>
      </c>
      <c r="U15" s="60" t="s">
        <v>173</v>
      </c>
      <c r="V15" s="61"/>
      <c r="W15" s="61"/>
      <c r="X15" s="25">
        <f>COUNTIFS(RawData!$P$2:$P$50000,"="&amp;Home!$U15,RawData!$B$2:$B$50000,"="&amp;Home!$A$5)</f>
        <v>0</v>
      </c>
      <c r="Y15" s="42">
        <f t="shared" si="2"/>
        <v>0</v>
      </c>
    </row>
    <row r="16" spans="1:25" ht="17" thickBot="1" x14ac:dyDescent="0.25">
      <c r="A16" s="57" t="s">
        <v>183</v>
      </c>
      <c r="E16" s="24">
        <v>44246</v>
      </c>
      <c r="F16" s="25">
        <f>IF(E16="","",SUMIFS(RawData!$M$2:$M$50000,RawData!$B$2:$B$50000,"="&amp;Home!$A$5,RawData!$D$2:$D$50000,"="&amp;Home!$E16))</f>
        <v>0</v>
      </c>
      <c r="G16" s="26">
        <f>IF(E16="","",SUMIFS(RawData!$N$2:$N$50000,RawData!$B$2:$B$50000,"="&amp;Home!$A$5,RawData!$D$2:$D$50000,"="&amp;Home!$E16))</f>
        <v>0</v>
      </c>
      <c r="H16" s="27">
        <f t="array" ref="H16">IFERROR(SUM(IF(FREQUENCY(IF(RawData!$D$2:$D$50000=Home!E16,MATCH(RawData!$H$2:$H$50000,RawData!$H$2:$H$50000,0)),ROW(RawData!$D$2:$D$50000)-ROW(RawData!$D$2)+1),RawData!$J$2:$J$50000)),"")</f>
        <v>0.125</v>
      </c>
      <c r="J16" s="79" t="s">
        <v>164</v>
      </c>
      <c r="K16" s="80"/>
      <c r="L16" s="37">
        <f>IFERROR(((L12*24)/(L10*24))/24,0)</f>
        <v>0</v>
      </c>
      <c r="U16" s="60" t="s">
        <v>174</v>
      </c>
      <c r="V16" s="61"/>
      <c r="W16" s="61"/>
      <c r="X16" s="25">
        <f>COUNTIFS(RawData!$P$2:$P$50000,"="&amp;Home!$U16,RawData!$B$2:$B$50000,"="&amp;Home!$A$5)</f>
        <v>0</v>
      </c>
      <c r="Y16" s="42">
        <f t="shared" si="2"/>
        <v>0</v>
      </c>
    </row>
    <row r="17" spans="1:25" ht="17" thickTop="1" x14ac:dyDescent="0.2">
      <c r="A17" s="57" t="s">
        <v>184</v>
      </c>
      <c r="E17" s="24">
        <v>44249</v>
      </c>
      <c r="F17" s="25">
        <f>IF(E17="","",SUMIFS(RawData!$M$2:$M$50000,RawData!$B$2:$B$50000,"="&amp;Home!$A$5,RawData!$D$2:$D$50000,"="&amp;Home!$E17))</f>
        <v>0</v>
      </c>
      <c r="G17" s="26">
        <f>IF(E17="","",SUMIFS(RawData!$N$2:$N$50000,RawData!$B$2:$B$50000,"="&amp;Home!$A$5,RawData!$D$2:$D$50000,"="&amp;Home!$E17))</f>
        <v>0</v>
      </c>
      <c r="H17" s="27">
        <f t="array" ref="H17">IFERROR(SUM(IF(FREQUENCY(IF(RawData!$D$2:$D$50000=Home!E17,MATCH(RawData!$H$2:$H$50000,RawData!$H$2:$H$50000,0)),ROW(RawData!$D$2:$D$50000)-ROW(RawData!$D$2)+1),RawData!$J$2:$J$50000)),"")</f>
        <v>0.125</v>
      </c>
      <c r="U17" s="60" t="s">
        <v>175</v>
      </c>
      <c r="V17" s="61"/>
      <c r="W17" s="61"/>
      <c r="X17" s="25">
        <f>COUNTIFS(RawData!$P$2:$P$50000,"="&amp;Home!$U17,RawData!$B$2:$B$50000,"="&amp;Home!$A$5)</f>
        <v>0</v>
      </c>
      <c r="Y17" s="42">
        <f t="shared" si="2"/>
        <v>0</v>
      </c>
    </row>
    <row r="18" spans="1:25" x14ac:dyDescent="0.2">
      <c r="A18" s="57" t="s">
        <v>185</v>
      </c>
      <c r="E18" s="24">
        <v>44250</v>
      </c>
      <c r="F18" s="25">
        <f>IF(E18="","",SUMIFS(RawData!$M$2:$M$50000,RawData!$B$2:$B$50000,"="&amp;Home!$A$5,RawData!$D$2:$D$50000,"="&amp;Home!$E18))</f>
        <v>0</v>
      </c>
      <c r="G18" s="26">
        <f>IF(E18="","",SUMIFS(RawData!$N$2:$N$50000,RawData!$B$2:$B$50000,"="&amp;Home!$A$5,RawData!$D$2:$D$50000,"="&amp;Home!$E18))</f>
        <v>0</v>
      </c>
      <c r="H18" s="27">
        <f t="array" ref="H18">IFERROR(SUM(IF(FREQUENCY(IF(RawData!$D$2:$D$50000=Home!E18,MATCH(RawData!$H$2:$H$50000,RawData!$H$2:$H$50000,0)),ROW(RawData!$D$2:$D$50000)-ROW(RawData!$D$2)+1),RawData!$J$2:$J$50000)),"")</f>
        <v>0.25</v>
      </c>
      <c r="U18" s="60" t="s">
        <v>176</v>
      </c>
      <c r="V18" s="61"/>
      <c r="W18" s="61"/>
      <c r="X18" s="25">
        <f>COUNTIFS(RawData!$P$2:$P$50000,"="&amp;Home!$U18,RawData!$B$2:$B$50000,"="&amp;Home!$A$5)</f>
        <v>0</v>
      </c>
      <c r="Y18" s="42">
        <f t="shared" si="2"/>
        <v>0</v>
      </c>
    </row>
    <row r="19" spans="1:25" x14ac:dyDescent="0.2">
      <c r="A19" s="57" t="s">
        <v>186</v>
      </c>
      <c r="E19" s="24">
        <v>44251</v>
      </c>
      <c r="F19" s="25">
        <f>IF(E19="","",SUMIFS(RawData!$M$2:$M$50000,RawData!$B$2:$B$50000,"="&amp;Home!$A$5,RawData!$D$2:$D$50000,"="&amp;Home!$E19))</f>
        <v>0</v>
      </c>
      <c r="G19" s="26">
        <f>IF(E19="","",SUMIFS(RawData!$N$2:$N$50000,RawData!$B$2:$B$50000,"="&amp;Home!$A$5,RawData!$D$2:$D$50000,"="&amp;Home!$E19))</f>
        <v>0</v>
      </c>
      <c r="H19" s="27">
        <f t="array" ref="H19">IFERROR(SUM(IF(FREQUENCY(IF(RawData!$D$2:$D$50000=Home!E19,MATCH(RawData!$H$2:$H$50000,RawData!$H$2:$H$50000,0)),ROW(RawData!$D$2:$D$50000)-ROW(RawData!$D$2)+1),RawData!$J$2:$J$50000)),"")</f>
        <v>0.125</v>
      </c>
      <c r="U19" s="60" t="s">
        <v>177</v>
      </c>
      <c r="V19" s="61"/>
      <c r="W19" s="61"/>
      <c r="X19" s="25">
        <f>COUNTIFS(RawData!$P$2:$P$50000,"="&amp;Home!$U19,RawData!$B$2:$B$50000,"="&amp;Home!$A$5)</f>
        <v>0</v>
      </c>
      <c r="Y19" s="42">
        <f t="shared" si="2"/>
        <v>0</v>
      </c>
    </row>
    <row r="20" spans="1:25" ht="19" x14ac:dyDescent="0.25">
      <c r="A20" s="57" t="s">
        <v>187</v>
      </c>
      <c r="E20" s="24">
        <v>44252</v>
      </c>
      <c r="F20" s="25">
        <f>IF(E20="","",SUMIFS(RawData!$M$2:$M$50000,RawData!$B$2:$B$50000,"="&amp;Home!$A$5,RawData!$D$2:$D$50000,"="&amp;Home!$E20))</f>
        <v>0</v>
      </c>
      <c r="G20" s="26">
        <f>IF(E20="","",SUMIFS(RawData!$N$2:$N$50000,RawData!$B$2:$B$50000,"="&amp;Home!$A$5,RawData!$D$2:$D$50000,"="&amp;Home!$E20))</f>
        <v>0</v>
      </c>
      <c r="H20" s="27">
        <f t="array" ref="H20">IFERROR(SUM(IF(FREQUENCY(IF(RawData!$D$2:$D$50000=Home!E20,MATCH(RawData!$H$2:$H$50000,RawData!$H$2:$H$50000,0)),ROW(RawData!$D$2:$D$50000)-ROW(RawData!$D$2)+1),RawData!$J$2:$J$50000)),"")</f>
        <v>0.25</v>
      </c>
      <c r="N20" s="14" t="s">
        <v>150</v>
      </c>
      <c r="U20" s="60" t="s">
        <v>178</v>
      </c>
      <c r="V20" s="61"/>
      <c r="W20" s="61"/>
      <c r="X20" s="25">
        <f>COUNTIFS(RawData!$P$2:$P$50000,"="&amp;Home!$U20,RawData!$B$2:$B$50000,"="&amp;Home!$A$5)</f>
        <v>0</v>
      </c>
      <c r="Y20" s="42">
        <f t="shared" si="2"/>
        <v>0</v>
      </c>
    </row>
    <row r="21" spans="1:25" ht="17" thickBot="1" x14ac:dyDescent="0.25">
      <c r="E21" s="24">
        <v>44253</v>
      </c>
      <c r="F21" s="25">
        <f>IF(E21="","",SUMIFS(RawData!$M$2:$M$50000,RawData!$B$2:$B$50000,"="&amp;Home!$A$5,RawData!$D$2:$D$50000,"="&amp;Home!$E21))</f>
        <v>0</v>
      </c>
      <c r="G21" s="26">
        <f>IF(E21="","",SUMIFS(RawData!$N$2:$N$50000,RawData!$B$2:$B$50000,"="&amp;Home!$A$5,RawData!$D$2:$D$50000,"="&amp;Home!$E21))</f>
        <v>0</v>
      </c>
      <c r="H21" s="27">
        <f t="array" ref="H21">IFERROR(SUM(IF(FREQUENCY(IF(RawData!$D$2:$D$50000=Home!E21,MATCH(RawData!$H$2:$H$50000,RawData!$H$2:$H$50000,0)),ROW(RawData!$D$2:$D$50000)-ROW(RawData!$D$2)+1),RawData!$J$2:$J$50000)),"")</f>
        <v>0.125</v>
      </c>
      <c r="U21" s="62" t="s">
        <v>93</v>
      </c>
      <c r="V21" s="63"/>
      <c r="W21" s="63"/>
      <c r="X21" s="40">
        <f>COUNTIFS(RawData!$P$2:$P$50000,"="&amp;Home!$U21,RawData!$B$2:$B$50000,"="&amp;Home!$A$5)</f>
        <v>2</v>
      </c>
      <c r="Y21" s="43">
        <f t="shared" si="2"/>
        <v>4.878048780487805E-2</v>
      </c>
    </row>
    <row r="22" spans="1:25" ht="17" thickTop="1" x14ac:dyDescent="0.2">
      <c r="A22" s="59" t="s">
        <v>188</v>
      </c>
      <c r="B22" s="59"/>
      <c r="C22" s="59"/>
      <c r="D22" s="59"/>
      <c r="E22" s="24">
        <v>44256</v>
      </c>
      <c r="F22" s="25">
        <f>IF(E22="","",SUMIFS(RawData!$M$2:$M$50000,RawData!$B$2:$B$50000,"="&amp;Home!$A$5,RawData!$D$2:$D$50000,"="&amp;Home!$E22))</f>
        <v>0</v>
      </c>
      <c r="G22" s="26">
        <f>IF(E22="","",SUMIFS(RawData!$N$2:$N$50000,RawData!$B$2:$B$50000,"="&amp;Home!$A$5,RawData!$D$2:$D$50000,"="&amp;Home!$E22))</f>
        <v>0</v>
      </c>
      <c r="H22" s="27">
        <f t="array" ref="H22">IFERROR(SUM(IF(FREQUENCY(IF(RawData!$D$2:$D$50000=Home!E22,MATCH(RawData!$H$2:$H$50000,RawData!$H$2:$H$50000,0)),ROW(RawData!$D$2:$D$50000)-ROW(RawData!$D$2)+1),RawData!$J$2:$J$50000)),"")</f>
        <v>0.125</v>
      </c>
    </row>
    <row r="23" spans="1:25" x14ac:dyDescent="0.2">
      <c r="E23" s="24">
        <v>44257</v>
      </c>
      <c r="F23" s="25">
        <f>IF(E23="","",SUMIFS(RawData!$M$2:$M$50000,RawData!$B$2:$B$50000,"="&amp;Home!$A$5,RawData!$D$2:$D$50000,"="&amp;Home!$E23))</f>
        <v>0</v>
      </c>
      <c r="G23" s="26">
        <f>IF(E23="","",SUMIFS(RawData!$N$2:$N$50000,RawData!$B$2:$B$50000,"="&amp;Home!$A$5,RawData!$D$2:$D$50000,"="&amp;Home!$E23))</f>
        <v>0</v>
      </c>
      <c r="H23" s="27">
        <f t="array" ref="H23">IFERROR(SUM(IF(FREQUENCY(IF(RawData!$D$2:$D$50000=Home!E23,MATCH(RawData!$H$2:$H$50000,RawData!$H$2:$H$50000,0)),ROW(RawData!$D$2:$D$50000)-ROW(RawData!$D$2)+1),RawData!$J$2:$J$50000)),"")</f>
        <v>0.25</v>
      </c>
    </row>
    <row r="24" spans="1:25" x14ac:dyDescent="0.2">
      <c r="E24" s="24">
        <v>44258</v>
      </c>
      <c r="F24" s="25">
        <f>IF(E24="","",SUMIFS(RawData!$M$2:$M$50000,RawData!$B$2:$B$50000,"="&amp;Home!$A$5,RawData!$D$2:$D$50000,"="&amp;Home!$E24))</f>
        <v>0</v>
      </c>
      <c r="G24" s="26">
        <f>IF(E24="","",SUMIFS(RawData!$N$2:$N$50000,RawData!$B$2:$B$50000,"="&amp;Home!$A$5,RawData!$D$2:$D$50000,"="&amp;Home!$E24))</f>
        <v>0</v>
      </c>
      <c r="H24" s="27">
        <f t="array" ref="H24">IFERROR(SUM(IF(FREQUENCY(IF(RawData!$D$2:$D$50000=Home!E24,MATCH(RawData!$H$2:$H$50000,RawData!$H$2:$H$50000,0)),ROW(RawData!$D$2:$D$50000)-ROW(RawData!$D$2)+1),RawData!$J$2:$J$50000)),"")</f>
        <v>0.10416666667151731</v>
      </c>
    </row>
    <row r="25" spans="1:25" x14ac:dyDescent="0.2">
      <c r="E25" s="24">
        <v>44259</v>
      </c>
      <c r="F25" s="25">
        <f>IF(E25="","",SUMIFS(RawData!$M$2:$M$50000,RawData!$B$2:$B$50000,"="&amp;Home!$A$5,RawData!$D$2:$D$50000,"="&amp;Home!$E25))</f>
        <v>27</v>
      </c>
      <c r="G25" s="26">
        <f>IF(E25="","",SUMIFS(RawData!$N$2:$N$50000,RawData!$B$2:$B$50000,"="&amp;Home!$A$5,RawData!$D$2:$D$50000,"="&amp;Home!$E25))</f>
        <v>0</v>
      </c>
      <c r="H25" s="27">
        <f t="array" ref="H25">IFERROR(SUM(IF(FREQUENCY(IF(RawData!$D$2:$D$50000=Home!E25,MATCH(RawData!$H$2:$H$50000,RawData!$H$2:$H$50000,0)),ROW(RawData!$D$2:$D$50000)-ROW(RawData!$D$2)+1),RawData!$J$2:$J$50000)),"")</f>
        <v>0.1875</v>
      </c>
    </row>
    <row r="26" spans="1:25" x14ac:dyDescent="0.2">
      <c r="E26" s="24">
        <v>44260</v>
      </c>
      <c r="F26" s="25">
        <f>IF(E26="","",SUMIFS(RawData!$M$2:$M$50000,RawData!$B$2:$B$50000,"="&amp;Home!$A$5,RawData!$D$2:$D$50000,"="&amp;Home!$E26))</f>
        <v>55</v>
      </c>
      <c r="G26" s="26">
        <f>IF(E26="","",SUMIFS(RawData!$N$2:$N$50000,RawData!$B$2:$B$50000,"="&amp;Home!$A$5,RawData!$D$2:$D$50000,"="&amp;Home!$E26))</f>
        <v>0</v>
      </c>
      <c r="H26" s="27">
        <f t="array" ref="H26">IFERROR(SUM(IF(FREQUENCY(IF(RawData!$D$2:$D$50000=Home!E26,MATCH(RawData!$H$2:$H$50000,RawData!$H$2:$H$50000,0)),ROW(RawData!$D$2:$D$50000)-ROW(RawData!$D$2)+1),RawData!$J$2:$J$50000)),"")</f>
        <v>0.125</v>
      </c>
    </row>
    <row r="27" spans="1:25" x14ac:dyDescent="0.2">
      <c r="E27" s="24">
        <v>44263</v>
      </c>
      <c r="F27" s="25">
        <f>IF(E27="","",SUMIFS(RawData!$M$2:$M$50000,RawData!$B$2:$B$50000,"="&amp;Home!$A$5,RawData!$D$2:$D$50000,"="&amp;Home!$E27))</f>
        <v>3</v>
      </c>
      <c r="G27" s="26">
        <f>IF(E27="","",SUMIFS(RawData!$N$2:$N$50000,RawData!$B$2:$B$50000,"="&amp;Home!$A$5,RawData!$D$2:$D$50000,"="&amp;Home!$E27))</f>
        <v>0</v>
      </c>
      <c r="H27" s="27">
        <f t="array" ref="H27">IFERROR(SUM(IF(FREQUENCY(IF(RawData!$D$2:$D$50000=Home!E27,MATCH(RawData!$H$2:$H$50000,RawData!$H$2:$H$50000,0)),ROW(RawData!$D$2:$D$50000)-ROW(RawData!$D$2)+1),RawData!$J$2:$J$50000)),"")</f>
        <v>0.125</v>
      </c>
    </row>
    <row r="28" spans="1:25" x14ac:dyDescent="0.2">
      <c r="E28" s="24">
        <v>44264</v>
      </c>
      <c r="F28" s="25">
        <f>IF(E28="","",SUMIFS(RawData!$M$2:$M$50000,RawData!$B$2:$B$50000,"="&amp;Home!$A$5,RawData!$D$2:$D$50000,"="&amp;Home!$E28))</f>
        <v>12</v>
      </c>
      <c r="G28" s="26">
        <f>IF(E28="","",SUMIFS(RawData!$N$2:$N$50000,RawData!$B$2:$B$50000,"="&amp;Home!$A$5,RawData!$D$2:$D$50000,"="&amp;Home!$E28))</f>
        <v>0</v>
      </c>
      <c r="H28" s="27">
        <f t="array" ref="H28">IFERROR(SUM(IF(FREQUENCY(IF(RawData!$D$2:$D$50000=Home!E28,MATCH(RawData!$H$2:$H$50000,RawData!$H$2:$H$50000,0)),ROW(RawData!$D$2:$D$50000)-ROW(RawData!$D$2)+1),RawData!$J$2:$J$50000)),"")</f>
        <v>0.25</v>
      </c>
    </row>
    <row r="29" spans="1:25" x14ac:dyDescent="0.2">
      <c r="E29" s="24">
        <v>44265</v>
      </c>
      <c r="F29" s="25">
        <f>IF(E29="","",SUMIFS(RawData!$M$2:$M$50000,RawData!$B$2:$B$50000,"="&amp;Home!$A$5,RawData!$D$2:$D$50000,"="&amp;Home!$E29))</f>
        <v>14</v>
      </c>
      <c r="G29" s="26">
        <f>IF(E29="","",SUMIFS(RawData!$N$2:$N$50000,RawData!$B$2:$B$50000,"="&amp;Home!$A$5,RawData!$D$2:$D$50000,"="&amp;Home!$E29))</f>
        <v>0</v>
      </c>
      <c r="H29" s="27">
        <f t="array" ref="H29">IFERROR(SUM(IF(FREQUENCY(IF(RawData!$D$2:$D$50000=Home!E29,MATCH(RawData!$H$2:$H$50000,RawData!$H$2:$H$50000,0)),ROW(RawData!$D$2:$D$50000)-ROW(RawData!$D$2)+1),RawData!$J$2:$J$50000)),"")</f>
        <v>0.125</v>
      </c>
    </row>
    <row r="30" spans="1:25" x14ac:dyDescent="0.2">
      <c r="E30" s="24">
        <v>44266</v>
      </c>
      <c r="F30" s="25">
        <f>IF(E30="","",SUMIFS(RawData!$M$2:$M$50000,RawData!$B$2:$B$50000,"="&amp;Home!$A$5,RawData!$D$2:$D$50000,"="&amp;Home!$E30))</f>
        <v>42</v>
      </c>
      <c r="G30" s="26">
        <f>IF(E30="","",SUMIFS(RawData!$N$2:$N$50000,RawData!$B$2:$B$50000,"="&amp;Home!$A$5,RawData!$D$2:$D$50000,"="&amp;Home!$E30))</f>
        <v>0</v>
      </c>
      <c r="H30" s="27">
        <f t="array" ref="H30">IFERROR(SUM(IF(FREQUENCY(IF(RawData!$D$2:$D$50000=Home!E30,MATCH(RawData!$H$2:$H$50000,RawData!$H$2:$H$50000,0)),ROW(RawData!$D$2:$D$50000)-ROW(RawData!$D$2)+1),RawData!$J$2:$J$50000)),"")</f>
        <v>0.26874999999563443</v>
      </c>
    </row>
    <row r="31" spans="1:25" x14ac:dyDescent="0.2">
      <c r="E31" s="24">
        <v>44270</v>
      </c>
      <c r="F31" s="25">
        <f>IF(E31="","",SUMIFS(RawData!$M$2:$M$50000,RawData!$B$2:$B$50000,"="&amp;Home!$A$5,RawData!$D$2:$D$50000,"="&amp;Home!$E31))</f>
        <v>2</v>
      </c>
      <c r="G31" s="26">
        <f>IF(E31="","",SUMIFS(RawData!$N$2:$N$50000,RawData!$B$2:$B$50000,"="&amp;Home!$A$5,RawData!$D$2:$D$50000,"="&amp;Home!$E31))</f>
        <v>0</v>
      </c>
      <c r="H31" s="27">
        <f t="array" ref="H31">IFERROR(SUM(IF(FREQUENCY(IF(RawData!$D$2:$D$50000=Home!E31,MATCH(RawData!$H$2:$H$50000,RawData!$H$2:$H$50000,0)),ROW(RawData!$D$2:$D$50000)-ROW(RawData!$D$2)+1),RawData!$J$2:$J$50000)),"")</f>
        <v>0.125</v>
      </c>
    </row>
    <row r="32" spans="1:25" x14ac:dyDescent="0.2">
      <c r="E32" s="24">
        <v>44271</v>
      </c>
      <c r="F32" s="25">
        <f>IF(E32="","",SUMIFS(RawData!$M$2:$M$50000,RawData!$B$2:$B$50000,"="&amp;Home!$A$5,RawData!$D$2:$D$50000,"="&amp;Home!$E32))</f>
        <v>35</v>
      </c>
      <c r="G32" s="26">
        <f>IF(E32="","",SUMIFS(RawData!$N$2:$N$50000,RawData!$B$2:$B$50000,"="&amp;Home!$A$5,RawData!$D$2:$D$50000,"="&amp;Home!$E32))</f>
        <v>0</v>
      </c>
      <c r="H32" s="27">
        <f t="array" ref="H32">IFERROR(SUM(IF(FREQUENCY(IF(RawData!$D$2:$D$50000=Home!E32,MATCH(RawData!$H$2:$H$50000,RawData!$H$2:$H$50000,0)),ROW(RawData!$D$2:$D$50000)-ROW(RawData!$D$2)+1),RawData!$J$2:$J$50000)),"")</f>
        <v>0.21875</v>
      </c>
    </row>
    <row r="33" spans="5:14" x14ac:dyDescent="0.2">
      <c r="E33" s="24">
        <v>44272</v>
      </c>
      <c r="F33" s="25">
        <f>IF(E33="","",SUMIFS(RawData!$M$2:$M$50000,RawData!$B$2:$B$50000,"="&amp;Home!$A$5,RawData!$D$2:$D$50000,"="&amp;Home!$E33))</f>
        <v>2</v>
      </c>
      <c r="G33" s="26">
        <f>IF(E33="","",SUMIFS(RawData!$N$2:$N$50000,RawData!$B$2:$B$50000,"="&amp;Home!$A$5,RawData!$D$2:$D$50000,"="&amp;Home!$E33))</f>
        <v>0</v>
      </c>
      <c r="H33" s="27">
        <f t="array" ref="H33">IFERROR(SUM(IF(FREQUENCY(IF(RawData!$D$2:$D$50000=Home!E33,MATCH(RawData!$H$2:$H$50000,RawData!$H$2:$H$50000,0)),ROW(RawData!$D$2:$D$50000)-ROW(RawData!$D$2)+1),RawData!$J$2:$J$50000)),"")</f>
        <v>0.125</v>
      </c>
    </row>
    <row r="34" spans="5:14" x14ac:dyDescent="0.2">
      <c r="E34" s="24">
        <v>44273</v>
      </c>
      <c r="F34" s="25">
        <f>IF(E34="","",SUMIFS(RawData!$M$2:$M$50000,RawData!$B$2:$B$50000,"="&amp;Home!$A$5,RawData!$D$2:$D$50000,"="&amp;Home!$E34))</f>
        <v>35</v>
      </c>
      <c r="G34" s="26">
        <f>IF(E34="","",SUMIFS(RawData!$N$2:$N$50000,RawData!$B$2:$B$50000,"="&amp;Home!$A$5,RawData!$D$2:$D$50000,"="&amp;Home!$E34))</f>
        <v>0</v>
      </c>
      <c r="H34" s="27">
        <f t="array" ref="H34">IFERROR(SUM(IF(FREQUENCY(IF(RawData!$D$2:$D$50000=Home!E34,MATCH(RawData!$H$2:$H$50000,RawData!$H$2:$H$50000,0)),ROW(RawData!$D$2:$D$50000)-ROW(RawData!$D$2)+1),RawData!$J$2:$J$50000)),"")</f>
        <v>0.25</v>
      </c>
    </row>
    <row r="35" spans="5:14" x14ac:dyDescent="0.2">
      <c r="E35" s="24">
        <v>44279</v>
      </c>
      <c r="F35" s="25">
        <f>IF(E35="","",SUMIFS(RawData!$M$2:$M$50000,RawData!$B$2:$B$50000,"="&amp;Home!$A$5,RawData!$D$2:$D$50000,"="&amp;Home!$E35))</f>
        <v>0</v>
      </c>
      <c r="G35" s="26">
        <f>IF(E35="","",SUMIFS(RawData!$N$2:$N$50000,RawData!$B$2:$B$50000,"="&amp;Home!$A$5,RawData!$D$2:$D$50000,"="&amp;Home!$E35))</f>
        <v>0</v>
      </c>
      <c r="H35" s="27">
        <f t="array" ref="H35">IFERROR(SUM(IF(FREQUENCY(IF(RawData!$D$2:$D$50000=Home!E35,MATCH(RawData!$H$2:$H$50000,RawData!$H$2:$H$50000,0)),ROW(RawData!$D$2:$D$50000)-ROW(RawData!$D$2)+1),RawData!$J$2:$J$50000)),"")</f>
        <v>0.125</v>
      </c>
    </row>
    <row r="36" spans="5:14" x14ac:dyDescent="0.2">
      <c r="E36" s="24">
        <v>44281</v>
      </c>
      <c r="F36" s="25">
        <f>IF(E36="","",SUMIFS(RawData!$M$2:$M$50000,RawData!$B$2:$B$50000,"="&amp;Home!$A$5,RawData!$D$2:$D$50000,"="&amp;Home!$E36))</f>
        <v>12</v>
      </c>
      <c r="G36" s="26">
        <f>IF(E36="","",SUMIFS(RawData!$N$2:$N$50000,RawData!$B$2:$B$50000,"="&amp;Home!$A$5,RawData!$D$2:$D$50000,"="&amp;Home!$E36))</f>
        <v>0</v>
      </c>
      <c r="H36" s="27">
        <f t="array" ref="H36">IFERROR(SUM(IF(FREQUENCY(IF(RawData!$D$2:$D$50000=Home!E36,MATCH(RawData!$H$2:$H$50000,RawData!$H$2:$H$50000,0)),ROW(RawData!$D$2:$D$50000)-ROW(RawData!$D$2)+1),RawData!$J$2:$J$50000)),"")</f>
        <v>0.125</v>
      </c>
    </row>
    <row r="37" spans="5:14" ht="19" x14ac:dyDescent="0.25">
      <c r="E37" s="24">
        <v>44284</v>
      </c>
      <c r="F37" s="25">
        <f>IF(E37="","",SUMIFS(RawData!$M$2:$M$50000,RawData!$B$2:$B$50000,"="&amp;Home!$A$5,RawData!$D$2:$D$50000,"="&amp;Home!$E37))</f>
        <v>8</v>
      </c>
      <c r="G37" s="26">
        <f>IF(E37="","",SUMIFS(RawData!$N$2:$N$50000,RawData!$B$2:$B$50000,"="&amp;Home!$A$5,RawData!$D$2:$D$50000,"="&amp;Home!$E37))</f>
        <v>0</v>
      </c>
      <c r="H37" s="27">
        <f t="array" ref="H37">IFERROR(SUM(IF(FREQUENCY(IF(RawData!$D$2:$D$50000=Home!E37,MATCH(RawData!$H$2:$H$50000,RawData!$H$2:$H$50000,0)),ROW(RawData!$D$2:$D$50000)-ROW(RawData!$D$2)+1),RawData!$J$2:$J$50000)),"")</f>
        <v>0.125</v>
      </c>
      <c r="N37" s="38" t="s">
        <v>165</v>
      </c>
    </row>
    <row r="38" spans="5:14" x14ac:dyDescent="0.2">
      <c r="E38" s="24">
        <v>44285</v>
      </c>
      <c r="F38" s="25">
        <f>IF(E38="","",SUMIFS(RawData!$M$2:$M$50000,RawData!$B$2:$B$50000,"="&amp;Home!$A$5,RawData!$D$2:$D$50000,"="&amp;Home!$E38))</f>
        <v>22</v>
      </c>
      <c r="G38" s="26">
        <f>IF(E38="","",SUMIFS(RawData!$N$2:$N$50000,RawData!$B$2:$B$50000,"="&amp;Home!$A$5,RawData!$D$2:$D$50000,"="&amp;Home!$E38))</f>
        <v>0</v>
      </c>
      <c r="H38" s="27">
        <f t="array" ref="H38">IFERROR(SUM(IF(FREQUENCY(IF(RawData!$D$2:$D$50000=Home!E38,MATCH(RawData!$H$2:$H$50000,RawData!$H$2:$H$50000,0)),ROW(RawData!$D$2:$D$50000)-ROW(RawData!$D$2)+1),RawData!$J$2:$J$50000)),"")</f>
        <v>0.25</v>
      </c>
    </row>
    <row r="39" spans="5:14" x14ac:dyDescent="0.2">
      <c r="E39" s="24">
        <v>44286</v>
      </c>
      <c r="F39" s="25">
        <f>IF(E39="","",SUMIFS(RawData!$M$2:$M$50000,RawData!$B$2:$B$50000,"="&amp;Home!$A$5,RawData!$D$2:$D$50000,"="&amp;Home!$E39))</f>
        <v>2</v>
      </c>
      <c r="G39" s="26">
        <f>IF(E39="","",SUMIFS(RawData!$N$2:$N$50000,RawData!$B$2:$B$50000,"="&amp;Home!$A$5,RawData!$D$2:$D$50000,"="&amp;Home!$E39))</f>
        <v>0</v>
      </c>
      <c r="H39" s="27">
        <f t="array" ref="H39">IFERROR(SUM(IF(FREQUENCY(IF(RawData!$D$2:$D$50000=Home!E39,MATCH(RawData!$H$2:$H$50000,RawData!$H$2:$H$50000,0)),ROW(RawData!$D$2:$D$50000)-ROW(RawData!$D$2)+1),RawData!$J$2:$J$50000)),"")</f>
        <v>0.125</v>
      </c>
    </row>
    <row r="40" spans="5:14" x14ac:dyDescent="0.2">
      <c r="E40" s="24">
        <v>44287</v>
      </c>
      <c r="F40" s="25">
        <f>IF(E40="","",SUMIFS(RawData!$M$2:$M$50000,RawData!$B$2:$B$50000,"="&amp;Home!$A$5,RawData!$D$2:$D$50000,"="&amp;Home!$E40))</f>
        <v>23</v>
      </c>
      <c r="G40" s="26">
        <f>IF(E40="","",SUMIFS(RawData!$N$2:$N$50000,RawData!$B$2:$B$50000,"="&amp;Home!$A$5,RawData!$D$2:$D$50000,"="&amp;Home!$E40))</f>
        <v>0</v>
      </c>
      <c r="H40" s="27">
        <f t="array" ref="H40">IFERROR(SUM(IF(FREQUENCY(IF(RawData!$D$2:$D$50000=Home!E40,MATCH(RawData!$H$2:$H$50000,RawData!$H$2:$H$50000,0)),ROW(RawData!$D$2:$D$50000)-ROW(RawData!$D$2)+1),RawData!$J$2:$J$50000)),"")</f>
        <v>0.25</v>
      </c>
    </row>
    <row r="41" spans="5:14" x14ac:dyDescent="0.2">
      <c r="E41" s="24">
        <v>44288</v>
      </c>
      <c r="F41" s="25">
        <f>IF(E41="","",SUMIFS(RawData!$M$2:$M$50000,RawData!$B$2:$B$50000,"="&amp;Home!$A$5,RawData!$D$2:$D$50000,"="&amp;Home!$E41))</f>
        <v>0</v>
      </c>
      <c r="G41" s="26">
        <f>IF(E41="","",SUMIFS(RawData!$N$2:$N$50000,RawData!$B$2:$B$50000,"="&amp;Home!$A$5,RawData!$D$2:$D$50000,"="&amp;Home!$E41))</f>
        <v>0</v>
      </c>
      <c r="H41" s="27">
        <f t="array" ref="H41">IFERROR(SUM(IF(FREQUENCY(IF(RawData!$D$2:$D$50000=Home!E41,MATCH(RawData!$H$2:$H$50000,RawData!$H$2:$H$50000,0)),ROW(RawData!$D$2:$D$50000)-ROW(RawData!$D$2)+1),RawData!$J$2:$J$50000)),"")</f>
        <v>0.125</v>
      </c>
    </row>
    <row r="42" spans="5:14" x14ac:dyDescent="0.2">
      <c r="E42" s="24">
        <v>44291</v>
      </c>
      <c r="F42" s="25">
        <f>IF(E42="","",SUMIFS(RawData!$M$2:$M$50000,RawData!$B$2:$B$50000,"="&amp;Home!$A$5,RawData!$D$2:$D$50000,"="&amp;Home!$E42))</f>
        <v>1</v>
      </c>
      <c r="G42" s="26">
        <f>IF(E42="","",SUMIFS(RawData!$N$2:$N$50000,RawData!$B$2:$B$50000,"="&amp;Home!$A$5,RawData!$D$2:$D$50000,"="&amp;Home!$E42))</f>
        <v>0</v>
      </c>
      <c r="H42" s="27">
        <f t="array" ref="H42">IFERROR(SUM(IF(FREQUENCY(IF(RawData!$D$2:$D$50000=Home!E42,MATCH(RawData!$H$2:$H$50000,RawData!$H$2:$H$50000,0)),ROW(RawData!$D$2:$D$50000)-ROW(RawData!$D$2)+1),RawData!$J$2:$J$50000)),"")</f>
        <v>0.125</v>
      </c>
    </row>
    <row r="43" spans="5:14" x14ac:dyDescent="0.2">
      <c r="E43" s="24">
        <v>44292</v>
      </c>
      <c r="F43" s="25">
        <f>IF(E43="","",SUMIFS(RawData!$M$2:$M$50000,RawData!$B$2:$B$50000,"="&amp;Home!$A$5,RawData!$D$2:$D$50000,"="&amp;Home!$E43))</f>
        <v>24</v>
      </c>
      <c r="G43" s="26">
        <f>IF(E43="","",SUMIFS(RawData!$N$2:$N$50000,RawData!$B$2:$B$50000,"="&amp;Home!$A$5,RawData!$D$2:$D$50000,"="&amp;Home!$E43))</f>
        <v>0</v>
      </c>
      <c r="H43" s="27">
        <f t="array" ref="H43">IFERROR(SUM(IF(FREQUENCY(IF(RawData!$D$2:$D$50000=Home!E43,MATCH(RawData!$H$2:$H$50000,RawData!$H$2:$H$50000,0)),ROW(RawData!$D$2:$D$50000)-ROW(RawData!$D$2)+1),RawData!$J$2:$J$50000)),"")</f>
        <v>0.25</v>
      </c>
    </row>
    <row r="44" spans="5:14" x14ac:dyDescent="0.2">
      <c r="E44" s="24">
        <v>44293</v>
      </c>
      <c r="F44" s="25">
        <f>IF(E44="","",SUMIFS(RawData!$M$2:$M$50000,RawData!$B$2:$B$50000,"="&amp;Home!$A$5,RawData!$D$2:$D$50000,"="&amp;Home!$E44))</f>
        <v>1</v>
      </c>
      <c r="G44" s="26">
        <f>IF(E44="","",SUMIFS(RawData!$N$2:$N$50000,RawData!$B$2:$B$50000,"="&amp;Home!$A$5,RawData!$D$2:$D$50000,"="&amp;Home!$E44))</f>
        <v>0</v>
      </c>
      <c r="H44" s="27">
        <f t="array" ref="H44">IFERROR(SUM(IF(FREQUENCY(IF(RawData!$D$2:$D$50000=Home!E44,MATCH(RawData!$H$2:$H$50000,RawData!$H$2:$H$50000,0)),ROW(RawData!$D$2:$D$50000)-ROW(RawData!$D$2)+1),RawData!$J$2:$J$50000)),"")</f>
        <v>0.125</v>
      </c>
    </row>
    <row r="45" spans="5:14" x14ac:dyDescent="0.2">
      <c r="E45" s="24">
        <v>44294</v>
      </c>
      <c r="F45" s="25">
        <f>IF(E45="","",SUMIFS(RawData!$M$2:$M$50000,RawData!$B$2:$B$50000,"="&amp;Home!$A$5,RawData!$D$2:$D$50000,"="&amp;Home!$E45))</f>
        <v>2</v>
      </c>
      <c r="G45" s="26">
        <f>IF(E45="","",SUMIFS(RawData!$N$2:$N$50000,RawData!$B$2:$B$50000,"="&amp;Home!$A$5,RawData!$D$2:$D$50000,"="&amp;Home!$E45))</f>
        <v>0</v>
      </c>
      <c r="H45" s="27">
        <f t="array" ref="H45">IFERROR(SUM(IF(FREQUENCY(IF(RawData!$D$2:$D$50000=Home!E45,MATCH(RawData!$H$2:$H$50000,RawData!$H$2:$H$50000,0)),ROW(RawData!$D$2:$D$50000)-ROW(RawData!$D$2)+1),RawData!$J$2:$J$50000)),"")</f>
        <v>0.25</v>
      </c>
    </row>
    <row r="46" spans="5:14" x14ac:dyDescent="0.2">
      <c r="E46" s="24">
        <v>44295</v>
      </c>
      <c r="F46" s="25">
        <f>IF(E46="","",SUMIFS(RawData!$M$2:$M$50000,RawData!$B$2:$B$50000,"="&amp;Home!$A$5,RawData!$D$2:$D$50000,"="&amp;Home!$E46))</f>
        <v>0</v>
      </c>
      <c r="G46" s="26">
        <f>IF(E46="","",SUMIFS(RawData!$N$2:$N$50000,RawData!$B$2:$B$50000,"="&amp;Home!$A$5,RawData!$D$2:$D$50000,"="&amp;Home!$E46))</f>
        <v>0</v>
      </c>
      <c r="H46" s="27">
        <f t="array" ref="H46">IFERROR(SUM(IF(FREQUENCY(IF(RawData!$D$2:$D$50000=Home!E46,MATCH(RawData!$H$2:$H$50000,RawData!$H$2:$H$50000,0)),ROW(RawData!$D$2:$D$50000)-ROW(RawData!$D$2)+1),RawData!$J$2:$J$50000)),"")</f>
        <v>0.125</v>
      </c>
    </row>
    <row r="47" spans="5:14" x14ac:dyDescent="0.2">
      <c r="E47" s="24">
        <v>44298</v>
      </c>
      <c r="F47" s="25">
        <f>IF(E47="","",SUMIFS(RawData!$M$2:$M$50000,RawData!$B$2:$B$50000,"="&amp;Home!$A$5,RawData!$D$2:$D$50000,"="&amp;Home!$E47))</f>
        <v>54</v>
      </c>
      <c r="G47" s="26">
        <f>IF(E47="","",SUMIFS(RawData!$N$2:$N$50000,RawData!$B$2:$B$50000,"="&amp;Home!$A$5,RawData!$D$2:$D$50000,"="&amp;Home!$E47))</f>
        <v>0</v>
      </c>
      <c r="H47" s="27">
        <f t="array" ref="H47">IFERROR(SUM(IF(FREQUENCY(IF(RawData!$D$2:$D$50000=Home!E47,MATCH(RawData!$H$2:$H$50000,RawData!$H$2:$H$50000,0)),ROW(RawData!$D$2:$D$50000)-ROW(RawData!$D$2)+1),RawData!$J$2:$J$50000)),"")</f>
        <v>0.13541666666424135</v>
      </c>
    </row>
    <row r="48" spans="5:14" x14ac:dyDescent="0.2">
      <c r="E48" s="24">
        <v>44299</v>
      </c>
      <c r="F48" s="25">
        <f>IF(E48="","",SUMIFS(RawData!$M$2:$M$50000,RawData!$B$2:$B$50000,"="&amp;Home!$A$5,RawData!$D$2:$D$50000,"="&amp;Home!$E48))</f>
        <v>5</v>
      </c>
      <c r="G48" s="26">
        <f>IF(E48="","",SUMIFS(RawData!$N$2:$N$50000,RawData!$B$2:$B$50000,"="&amp;Home!$A$5,RawData!$D$2:$D$50000,"="&amp;Home!$E48))</f>
        <v>0</v>
      </c>
      <c r="H48" s="27">
        <f t="array" ref="H48">IFERROR(SUM(IF(FREQUENCY(IF(RawData!$D$2:$D$50000=Home!E48,MATCH(RawData!$H$2:$H$50000,RawData!$H$2:$H$50000,0)),ROW(RawData!$D$2:$D$50000)-ROW(RawData!$D$2)+1),RawData!$J$2:$J$50000)),"")</f>
        <v>0.26666666666278616</v>
      </c>
    </row>
    <row r="49" spans="5:14" x14ac:dyDescent="0.2">
      <c r="E49" s="24">
        <v>44300</v>
      </c>
      <c r="F49" s="25">
        <f>IF(E49="","",SUMIFS(RawData!$M$2:$M$50000,RawData!$B$2:$B$50000,"="&amp;Home!$A$5,RawData!$D$2:$D$50000,"="&amp;Home!$E49))</f>
        <v>13</v>
      </c>
      <c r="G49" s="26">
        <f>IF(E49="","",SUMIFS(RawData!$N$2:$N$50000,RawData!$B$2:$B$50000,"="&amp;Home!$A$5,RawData!$D$2:$D$50000,"="&amp;Home!$E49))</f>
        <v>0</v>
      </c>
      <c r="H49" s="27">
        <f t="array" ref="H49">IFERROR(SUM(IF(FREQUENCY(IF(RawData!$D$2:$D$50000=Home!E49,MATCH(RawData!$H$2:$H$50000,RawData!$H$2:$H$50000,0)),ROW(RawData!$D$2:$D$50000)-ROW(RawData!$D$2)+1),RawData!$J$2:$J$50000)),"")</f>
        <v>0.22916666666424135</v>
      </c>
    </row>
    <row r="50" spans="5:14" x14ac:dyDescent="0.2">
      <c r="E50" s="24">
        <v>44301</v>
      </c>
      <c r="F50" s="25">
        <f>IF(E50="","",SUMIFS(RawData!$M$2:$M$50000,RawData!$B$2:$B$50000,"="&amp;Home!$A$5,RawData!$D$2:$D$50000,"="&amp;Home!$E50))</f>
        <v>60</v>
      </c>
      <c r="G50" s="26">
        <f>IF(E50="","",SUMIFS(RawData!$N$2:$N$50000,RawData!$B$2:$B$50000,"="&amp;Home!$A$5,RawData!$D$2:$D$50000,"="&amp;Home!$E50))</f>
        <v>0</v>
      </c>
      <c r="H50" s="27">
        <f t="array" ref="H50">IFERROR(SUM(IF(FREQUENCY(IF(RawData!$D$2:$D$50000=Home!E50,MATCH(RawData!$H$2:$H$50000,RawData!$H$2:$H$50000,0)),ROW(RawData!$D$2:$D$50000)-ROW(RawData!$D$2)+1),RawData!$J$2:$J$50000)),"")</f>
        <v>0.27083333332848269</v>
      </c>
    </row>
    <row r="51" spans="5:14" x14ac:dyDescent="0.2">
      <c r="E51" s="24">
        <v>44302</v>
      </c>
      <c r="F51" s="25">
        <f>IF(E51="","",SUMIFS(RawData!$M$2:$M$50000,RawData!$B$2:$B$50000,"="&amp;Home!$A$5,RawData!$D$2:$D$50000,"="&amp;Home!$E51))</f>
        <v>19</v>
      </c>
      <c r="G51" s="26">
        <f>IF(E51="","",SUMIFS(RawData!$N$2:$N$50000,RawData!$B$2:$B$50000,"="&amp;Home!$A$5,RawData!$D$2:$D$50000,"="&amp;Home!$E51))</f>
        <v>0</v>
      </c>
      <c r="H51" s="27">
        <f t="array" ref="H51">IFERROR(SUM(IF(FREQUENCY(IF(RawData!$D$2:$D$50000=Home!E51,MATCH(RawData!$H$2:$H$50000,RawData!$H$2:$H$50000,0)),ROW(RawData!$D$2:$D$50000)-ROW(RawData!$D$2)+1),RawData!$J$2:$J$50000)),"")</f>
        <v>0.22916666666424135</v>
      </c>
    </row>
    <row r="52" spans="5:14" x14ac:dyDescent="0.2">
      <c r="E52" s="24">
        <v>44307</v>
      </c>
      <c r="F52" s="25">
        <f>IF(E52="","",SUMIFS(RawData!$M$2:$M$50000,RawData!$B$2:$B$50000,"="&amp;Home!$A$5,RawData!$D$2:$D$50000,"="&amp;Home!$E52))</f>
        <v>63</v>
      </c>
      <c r="G52" s="26">
        <f>IF(E52="","",SUMIFS(RawData!$N$2:$N$50000,RawData!$B$2:$B$50000,"="&amp;Home!$A$5,RawData!$D$2:$D$50000,"="&amp;Home!$E52))</f>
        <v>0</v>
      </c>
      <c r="H52" s="27">
        <f t="array" ref="H52">IFERROR(SUM(IF(FREQUENCY(IF(RawData!$D$2:$D$50000=Home!E52,MATCH(RawData!$H$2:$H$50000,RawData!$H$2:$H$50000,0)),ROW(RawData!$D$2:$D$50000)-ROW(RawData!$D$2)+1),RawData!$J$2:$J$50000)),"")</f>
        <v>0.25</v>
      </c>
    </row>
    <row r="53" spans="5:14" x14ac:dyDescent="0.2">
      <c r="E53" s="24">
        <v>44308</v>
      </c>
      <c r="F53" s="25">
        <f>IF(E53="","",SUMIFS(RawData!$M$2:$M$50000,RawData!$B$2:$B$50000,"="&amp;Home!$A$5,RawData!$D$2:$D$50000,"="&amp;Home!$E53))</f>
        <v>0</v>
      </c>
      <c r="G53" s="26">
        <f>IF(E53="","",SUMIFS(RawData!$N$2:$N$50000,RawData!$B$2:$B$50000,"="&amp;Home!$A$5,RawData!$D$2:$D$50000,"="&amp;Home!$E53))</f>
        <v>0</v>
      </c>
      <c r="H53" s="27">
        <f t="array" ref="H53">IFERROR(SUM(IF(FREQUENCY(IF(RawData!$D$2:$D$50000=Home!E53,MATCH(RawData!$H$2:$H$50000,RawData!$H$2:$H$50000,0)),ROW(RawData!$D$2:$D$50000)-ROW(RawData!$D$2)+1),RawData!$J$2:$J$50000)),"")</f>
        <v>0.26041666666424135</v>
      </c>
    </row>
    <row r="54" spans="5:14" ht="19" x14ac:dyDescent="0.25">
      <c r="E54" s="24">
        <v>44309</v>
      </c>
      <c r="F54" s="25">
        <f>IF(E54="","",SUMIFS(RawData!$M$2:$M$50000,RawData!$B$2:$B$50000,"="&amp;Home!$A$5,RawData!$D$2:$D$50000,"="&amp;Home!$E54))</f>
        <v>9</v>
      </c>
      <c r="G54" s="26">
        <f>IF(E54="","",SUMIFS(RawData!$N$2:$N$50000,RawData!$B$2:$B$50000,"="&amp;Home!$A$5,RawData!$D$2:$D$50000,"="&amp;Home!$E54))</f>
        <v>0</v>
      </c>
      <c r="H54" s="27">
        <f t="array" ref="H54">IFERROR(SUM(IF(FREQUENCY(IF(RawData!$D$2:$D$50000=Home!E54,MATCH(RawData!$H$2:$H$50000,RawData!$H$2:$H$50000,0)),ROW(RawData!$D$2:$D$50000)-ROW(RawData!$D$2)+1),RawData!$J$2:$J$50000)),"")</f>
        <v>0.25</v>
      </c>
      <c r="N54" s="38" t="s">
        <v>166</v>
      </c>
    </row>
    <row r="55" spans="5:14" x14ac:dyDescent="0.2">
      <c r="E55" s="24">
        <v>44312</v>
      </c>
      <c r="F55" s="25">
        <f>IF(E55="","",SUMIFS(RawData!$M$2:$M$50000,RawData!$B$2:$B$50000,"="&amp;Home!$A$5,RawData!$D$2:$D$50000,"="&amp;Home!$E55))</f>
        <v>71</v>
      </c>
      <c r="G55" s="26">
        <f>IF(E55="","",SUMIFS(RawData!$N$2:$N$50000,RawData!$B$2:$B$50000,"="&amp;Home!$A$5,RawData!$D$2:$D$50000,"="&amp;Home!$E55))</f>
        <v>0</v>
      </c>
      <c r="H55" s="27">
        <f t="array" ref="H55">IFERROR(SUM(IF(FREQUENCY(IF(RawData!$D$2:$D$50000=Home!E55,MATCH(RawData!$H$2:$H$50000,RawData!$H$2:$H$50000,0)),ROW(RawData!$D$2:$D$50000)-ROW(RawData!$D$2)+1),RawData!$J$2:$J$50000)),"")</f>
        <v>0.27083333332848269</v>
      </c>
    </row>
    <row r="56" spans="5:14" x14ac:dyDescent="0.2">
      <c r="E56" s="24">
        <v>44313</v>
      </c>
      <c r="F56" s="25">
        <f>IF(E56="","",SUMIFS(RawData!$M$2:$M$50000,RawData!$B$2:$B$50000,"="&amp;Home!$A$5,RawData!$D$2:$D$50000,"="&amp;Home!$E56))</f>
        <v>32</v>
      </c>
      <c r="G56" s="26">
        <f>IF(E56="","",SUMIFS(RawData!$N$2:$N$50000,RawData!$B$2:$B$50000,"="&amp;Home!$A$5,RawData!$D$2:$D$50000,"="&amp;Home!$E56))</f>
        <v>0</v>
      </c>
      <c r="H56" s="27">
        <f t="array" ref="H56">IFERROR(SUM(IF(FREQUENCY(IF(RawData!$D$2:$D$50000=Home!E56,MATCH(RawData!$H$2:$H$50000,RawData!$H$2:$H$50000,0)),ROW(RawData!$D$2:$D$50000)-ROW(RawData!$D$2)+1),RawData!$J$2:$J$50000)),"")</f>
        <v>0.25</v>
      </c>
    </row>
    <row r="57" spans="5:14" x14ac:dyDescent="0.2">
      <c r="E57" s="24">
        <v>44314</v>
      </c>
      <c r="F57" s="25">
        <f>IF(E57="","",SUMIFS(RawData!$M$2:$M$50000,RawData!$B$2:$B$50000,"="&amp;Home!$A$5,RawData!$D$2:$D$50000,"="&amp;Home!$E57))</f>
        <v>30</v>
      </c>
      <c r="G57" s="26">
        <f>IF(E57="","",SUMIFS(RawData!$N$2:$N$50000,RawData!$B$2:$B$50000,"="&amp;Home!$A$5,RawData!$D$2:$D$50000,"="&amp;Home!$E57))</f>
        <v>0</v>
      </c>
      <c r="H57" s="27">
        <f t="array" ref="H57">IFERROR(SUM(IF(FREQUENCY(IF(RawData!$D$2:$D$50000=Home!E57,MATCH(RawData!$H$2:$H$50000,RawData!$H$2:$H$50000,0)),ROW(RawData!$D$2:$D$50000)-ROW(RawData!$D$2)+1),RawData!$J$2:$J$50000)),"")</f>
        <v>0.25</v>
      </c>
    </row>
    <row r="58" spans="5:14" x14ac:dyDescent="0.2">
      <c r="E58" s="24">
        <v>44315</v>
      </c>
      <c r="F58" s="25">
        <f>IF(E58="","",SUMIFS(RawData!$M$2:$M$50000,RawData!$B$2:$B$50000,"="&amp;Home!$A$5,RawData!$D$2:$D$50000,"="&amp;Home!$E58))</f>
        <v>19</v>
      </c>
      <c r="G58" s="26">
        <f>IF(E58="","",SUMIFS(RawData!$N$2:$N$50000,RawData!$B$2:$B$50000,"="&amp;Home!$A$5,RawData!$D$2:$D$50000,"="&amp;Home!$E58))</f>
        <v>0</v>
      </c>
      <c r="H58" s="27">
        <f t="array" ref="H58">IFERROR(SUM(IF(FREQUENCY(IF(RawData!$D$2:$D$50000=Home!E58,MATCH(RawData!$H$2:$H$50000,RawData!$H$2:$H$50000,0)),ROW(RawData!$D$2:$D$50000)-ROW(RawData!$D$2)+1),RawData!$J$2:$J$50000)),"")</f>
        <v>0.25</v>
      </c>
    </row>
    <row r="59" spans="5:14" x14ac:dyDescent="0.2">
      <c r="E59" s="24">
        <v>44316</v>
      </c>
      <c r="F59" s="25">
        <f>IF(E59="","",SUMIFS(RawData!$M$2:$M$50000,RawData!$B$2:$B$50000,"="&amp;Home!$A$5,RawData!$D$2:$D$50000,"="&amp;Home!$E59))</f>
        <v>33</v>
      </c>
      <c r="G59" s="26">
        <f>IF(E59="","",SUMIFS(RawData!$N$2:$N$50000,RawData!$B$2:$B$50000,"="&amp;Home!$A$5,RawData!$D$2:$D$50000,"="&amp;Home!$E59))</f>
        <v>0</v>
      </c>
      <c r="H59" s="27">
        <f t="array" ref="H59">IFERROR(SUM(IF(FREQUENCY(IF(RawData!$D$2:$D$50000=Home!E59,MATCH(RawData!$H$2:$H$50000,RawData!$H$2:$H$50000,0)),ROW(RawData!$D$2:$D$50000)-ROW(RawData!$D$2)+1),RawData!$J$2:$J$50000)),"")</f>
        <v>0.26041666667151731</v>
      </c>
    </row>
    <row r="60" spans="5:14" x14ac:dyDescent="0.2">
      <c r="E60" s="24">
        <v>44319</v>
      </c>
      <c r="F60" s="25">
        <f>IF(E60="","",SUMIFS(RawData!$M$2:$M$50000,RawData!$B$2:$B$50000,"="&amp;Home!$A$5,RawData!$D$2:$D$50000,"="&amp;Home!$E60))</f>
        <v>76</v>
      </c>
      <c r="G60" s="26">
        <f>IF(E60="","",SUMIFS(RawData!$N$2:$N$50000,RawData!$B$2:$B$50000,"="&amp;Home!$A$5,RawData!$D$2:$D$50000,"="&amp;Home!$E60))</f>
        <v>0</v>
      </c>
      <c r="H60" s="27">
        <f t="array" ref="H60">IFERROR(SUM(IF(FREQUENCY(IF(RawData!$D$2:$D$50000=Home!E60,MATCH(RawData!$H$2:$H$50000,RawData!$H$2:$H$50000,0)),ROW(RawData!$D$2:$D$50000)-ROW(RawData!$D$2)+1),RawData!$J$2:$J$50000)),"")</f>
        <v>0.23958333333575865</v>
      </c>
    </row>
    <row r="61" spans="5:14" x14ac:dyDescent="0.2">
      <c r="E61" s="24">
        <v>44320</v>
      </c>
      <c r="F61" s="25">
        <f>IF(E61="","",SUMIFS(RawData!$M$2:$M$50000,RawData!$B$2:$B$50000,"="&amp;Home!$A$5,RawData!$D$2:$D$50000,"="&amp;Home!$E61))</f>
        <v>0</v>
      </c>
      <c r="G61" s="26">
        <f>IF(E61="","",SUMIFS(RawData!$N$2:$N$50000,RawData!$B$2:$B$50000,"="&amp;Home!$A$5,RawData!$D$2:$D$50000,"="&amp;Home!$E61))</f>
        <v>0</v>
      </c>
      <c r="H61" s="27">
        <f t="array" ref="H61">IFERROR(SUM(IF(FREQUENCY(IF(RawData!$D$2:$D$50000=Home!E61,MATCH(RawData!$H$2:$H$50000,RawData!$H$2:$H$50000,0)),ROW(RawData!$D$2:$D$50000)-ROW(RawData!$D$2)+1),RawData!$J$2:$J$50000)),"")</f>
        <v>0.21597222222044365</v>
      </c>
    </row>
    <row r="62" spans="5:14" x14ac:dyDescent="0.2">
      <c r="E62" s="24">
        <v>44321</v>
      </c>
      <c r="F62" s="25">
        <f>IF(E62="","",SUMIFS(RawData!$M$2:$M$50000,RawData!$B$2:$B$50000,"="&amp;Home!$A$5,RawData!$D$2:$D$50000,"="&amp;Home!$E62))</f>
        <v>11</v>
      </c>
      <c r="G62" s="26">
        <f>IF(E62="","",SUMIFS(RawData!$N$2:$N$50000,RawData!$B$2:$B$50000,"="&amp;Home!$A$5,RawData!$D$2:$D$50000,"="&amp;Home!$E62))</f>
        <v>0</v>
      </c>
      <c r="H62" s="27">
        <f t="array" ref="H62">IFERROR(SUM(IF(FREQUENCY(IF(RawData!$D$2:$D$50000=Home!E62,MATCH(RawData!$H$2:$H$50000,RawData!$H$2:$H$50000,0)),ROW(RawData!$D$2:$D$50000)-ROW(RawData!$D$2)+1),RawData!$J$2:$J$50000)),"")</f>
        <v>0.25</v>
      </c>
    </row>
    <row r="63" spans="5:14" x14ac:dyDescent="0.2">
      <c r="E63" s="24">
        <v>44323</v>
      </c>
      <c r="F63" s="25">
        <f>IF(E63="","",SUMIFS(RawData!$M$2:$M$50000,RawData!$B$2:$B$50000,"="&amp;Home!$A$5,RawData!$D$2:$D$50000,"="&amp;Home!$E63))</f>
        <v>53</v>
      </c>
      <c r="G63" s="26">
        <f>IF(E63="","",SUMIFS(RawData!$N$2:$N$50000,RawData!$B$2:$B$50000,"="&amp;Home!$A$5,RawData!$D$2:$D$50000,"="&amp;Home!$E63))</f>
        <v>0</v>
      </c>
      <c r="H63" s="27">
        <f t="array" ref="H63">IFERROR(SUM(IF(FREQUENCY(IF(RawData!$D$2:$D$50000=Home!E63,MATCH(RawData!$H$2:$H$50000,RawData!$H$2:$H$50000,0)),ROW(RawData!$D$2:$D$50000)-ROW(RawData!$D$2)+1),RawData!$J$2:$J$50000)),"")</f>
        <v>0.27083333333575865</v>
      </c>
    </row>
    <row r="64" spans="5:14" x14ac:dyDescent="0.2">
      <c r="E64" s="24">
        <v>44326</v>
      </c>
      <c r="F64" s="25">
        <f>IF(E64="","",SUMIFS(RawData!$M$2:$M$50000,RawData!$B$2:$B$50000,"="&amp;Home!$A$5,RawData!$D$2:$D$50000,"="&amp;Home!$E64))</f>
        <v>71</v>
      </c>
      <c r="G64" s="26">
        <f>IF(E64="","",SUMIFS(RawData!$N$2:$N$50000,RawData!$B$2:$B$50000,"="&amp;Home!$A$5,RawData!$D$2:$D$50000,"="&amp;Home!$E64))</f>
        <v>0</v>
      </c>
      <c r="H64" s="27">
        <f t="array" ref="H64">IFERROR(SUM(IF(FREQUENCY(IF(RawData!$D$2:$D$50000=Home!E64,MATCH(RawData!$H$2:$H$50000,RawData!$H$2:$H$50000,0)),ROW(RawData!$D$2:$D$50000)-ROW(RawData!$D$2)+1),RawData!$J$2:$J$50000)),"")</f>
        <v>0.25</v>
      </c>
    </row>
    <row r="65" spans="5:14" x14ac:dyDescent="0.2">
      <c r="E65" s="24">
        <v>44327</v>
      </c>
      <c r="F65" s="25">
        <f>IF(E65="","",SUMIFS(RawData!$M$2:$M$50000,RawData!$B$2:$B$50000,"="&amp;Home!$A$5,RawData!$D$2:$D$50000,"="&amp;Home!$E65))</f>
        <v>17</v>
      </c>
      <c r="G65" s="26">
        <f>IF(E65="","",SUMIFS(RawData!$N$2:$N$50000,RawData!$B$2:$B$50000,"="&amp;Home!$A$5,RawData!$D$2:$D$50000,"="&amp;Home!$E65))</f>
        <v>0</v>
      </c>
      <c r="H65" s="27">
        <f t="array" ref="H65">IFERROR(SUM(IF(FREQUENCY(IF(RawData!$D$2:$D$50000=Home!E65,MATCH(RawData!$H$2:$H$50000,RawData!$H$2:$H$50000,0)),ROW(RawData!$D$2:$D$50000)-ROW(RawData!$D$2)+1),RawData!$J$2:$J$50000)),"")</f>
        <v>0.16666666667151731</v>
      </c>
    </row>
    <row r="66" spans="5:14" x14ac:dyDescent="0.2">
      <c r="E66" s="24">
        <v>44328</v>
      </c>
      <c r="F66" s="25">
        <f>IF(E66="","",SUMIFS(RawData!$M$2:$M$50000,RawData!$B$2:$B$50000,"="&amp;Home!$A$5,RawData!$D$2:$D$50000,"="&amp;Home!$E66))</f>
        <v>6</v>
      </c>
      <c r="G66" s="26">
        <f>IF(E66="","",SUMIFS(RawData!$N$2:$N$50000,RawData!$B$2:$B$50000,"="&amp;Home!$A$5,RawData!$D$2:$D$50000,"="&amp;Home!$E66))</f>
        <v>0</v>
      </c>
      <c r="H66" s="27">
        <f t="array" ref="H66">IFERROR(SUM(IF(FREQUENCY(IF(RawData!$D$2:$D$50000=Home!E66,MATCH(RawData!$H$2:$H$50000,RawData!$H$2:$H$50000,0)),ROW(RawData!$D$2:$D$50000)-ROW(RawData!$D$2)+1),RawData!$J$2:$J$50000)),"")</f>
        <v>0.13541666666424135</v>
      </c>
    </row>
    <row r="67" spans="5:14" x14ac:dyDescent="0.2">
      <c r="E67" s="24">
        <v>44334</v>
      </c>
      <c r="F67" s="25">
        <f>IF(E67="","",SUMIFS(RawData!$M$2:$M$50000,RawData!$B$2:$B$50000,"="&amp;Home!$A$5,RawData!$D$2:$D$50000,"="&amp;Home!$E67))</f>
        <v>0</v>
      </c>
      <c r="G67" s="26">
        <f>IF(E67="","",SUMIFS(RawData!$N$2:$N$50000,RawData!$B$2:$B$50000,"="&amp;Home!$A$5,RawData!$D$2:$D$50000,"="&amp;Home!$E67))</f>
        <v>0</v>
      </c>
      <c r="H67" s="27">
        <f t="array" ref="H67">IFERROR(SUM(IF(FREQUENCY(IF(RawData!$D$2:$D$50000=Home!E67,MATCH(RawData!$H$2:$H$50000,RawData!$H$2:$H$50000,0)),ROW(RawData!$D$2:$D$50000)-ROW(RawData!$D$2)+1),RawData!$J$2:$J$50000)),"")</f>
        <v>0.23958333333575865</v>
      </c>
    </row>
    <row r="68" spans="5:14" x14ac:dyDescent="0.2">
      <c r="E68" s="24">
        <v>44335</v>
      </c>
      <c r="F68" s="25">
        <f>IF(E68="","",SUMIFS(RawData!$M$2:$M$50000,RawData!$B$2:$B$50000,"="&amp;Home!$A$5,RawData!$D$2:$D$50000,"="&amp;Home!$E68))</f>
        <v>15</v>
      </c>
      <c r="G68" s="26">
        <f>IF(E68="","",SUMIFS(RawData!$N$2:$N$50000,RawData!$B$2:$B$50000,"="&amp;Home!$A$5,RawData!$D$2:$D$50000,"="&amp;Home!$E68))</f>
        <v>0</v>
      </c>
      <c r="H68" s="27">
        <f t="array" ref="H68">IFERROR(SUM(IF(FREQUENCY(IF(RawData!$D$2:$D$50000=Home!E68,MATCH(RawData!$H$2:$H$50000,RawData!$H$2:$H$50000,0)),ROW(RawData!$D$2:$D$50000)-ROW(RawData!$D$2)+1),RawData!$J$2:$J$50000)),"")</f>
        <v>0.23958333333575865</v>
      </c>
    </row>
    <row r="69" spans="5:14" x14ac:dyDescent="0.2">
      <c r="E69" s="24">
        <v>44336</v>
      </c>
      <c r="F69" s="25">
        <f>IF(E69="","",SUMIFS(RawData!$M$2:$M$50000,RawData!$B$2:$B$50000,"="&amp;Home!$A$5,RawData!$D$2:$D$50000,"="&amp;Home!$E69))</f>
        <v>0</v>
      </c>
      <c r="G69" s="26">
        <f>IF(E69="","",SUMIFS(RawData!$N$2:$N$50000,RawData!$B$2:$B$50000,"="&amp;Home!$A$5,RawData!$D$2:$D$50000,"="&amp;Home!$E69))</f>
        <v>0</v>
      </c>
      <c r="H69" s="27">
        <f t="array" ref="H69">IFERROR(SUM(IF(FREQUENCY(IF(RawData!$D$2:$D$50000=Home!E69,MATCH(RawData!$H$2:$H$50000,RawData!$H$2:$H$50000,0)),ROW(RawData!$D$2:$D$50000)-ROW(RawData!$D$2)+1),RawData!$J$2:$J$50000)),"")</f>
        <v>0.23958333333575865</v>
      </c>
    </row>
    <row r="70" spans="5:14" x14ac:dyDescent="0.2">
      <c r="E70" s="24">
        <v>44337</v>
      </c>
      <c r="F70" s="25">
        <f>IF(E70="","",SUMIFS(RawData!$M$2:$M$50000,RawData!$B$2:$B$50000,"="&amp;Home!$A$5,RawData!$D$2:$D$50000,"="&amp;Home!$E70))</f>
        <v>4</v>
      </c>
      <c r="G70" s="26">
        <f>IF(E70="","",SUMIFS(RawData!$N$2:$N$50000,RawData!$B$2:$B$50000,"="&amp;Home!$A$5,RawData!$D$2:$D$50000,"="&amp;Home!$E70))</f>
        <v>0</v>
      </c>
      <c r="H70" s="27">
        <f t="array" ref="H70">IFERROR(SUM(IF(FREQUENCY(IF(RawData!$D$2:$D$50000=Home!E70,MATCH(RawData!$H$2:$H$50000,RawData!$H$2:$H$50000,0)),ROW(RawData!$D$2:$D$50000)-ROW(RawData!$D$2)+1),RawData!$J$2:$J$50000)),"")</f>
        <v>0.24583333333430346</v>
      </c>
    </row>
    <row r="71" spans="5:14" ht="19" x14ac:dyDescent="0.25">
      <c r="E71" s="24">
        <v>44338</v>
      </c>
      <c r="F71" s="25">
        <f>IF(E71="","",SUMIFS(RawData!$M$2:$M$50000,RawData!$B$2:$B$50000,"="&amp;Home!$A$5,RawData!$D$2:$D$50000,"="&amp;Home!$E71))</f>
        <v>1</v>
      </c>
      <c r="G71" s="26">
        <f>IF(E71="","",SUMIFS(RawData!$N$2:$N$50000,RawData!$B$2:$B$50000,"="&amp;Home!$A$5,RawData!$D$2:$D$50000,"="&amp;Home!$E71))</f>
        <v>0</v>
      </c>
      <c r="H71" s="27">
        <f t="array" ref="H71">IFERROR(SUM(IF(FREQUENCY(IF(RawData!$D$2:$D$50000=Home!E71,MATCH(RawData!$H$2:$H$50000,RawData!$H$2:$H$50000,0)),ROW(RawData!$D$2:$D$50000)-ROW(RawData!$D$2)+1),RawData!$J$2:$J$50000)),"")</f>
        <v>0.22916666667151731</v>
      </c>
      <c r="N71" s="38" t="s">
        <v>167</v>
      </c>
    </row>
    <row r="72" spans="5:14" x14ac:dyDescent="0.2">
      <c r="E72" s="24">
        <v>44340</v>
      </c>
      <c r="F72" s="25">
        <f>IF(E72="","",SUMIFS(RawData!$M$2:$M$50000,RawData!$B$2:$B$50000,"="&amp;Home!$A$5,RawData!$D$2:$D$50000,"="&amp;Home!$E72))</f>
        <v>22</v>
      </c>
      <c r="G72" s="26">
        <f>IF(E72="","",SUMIFS(RawData!$N$2:$N$50000,RawData!$B$2:$B$50000,"="&amp;Home!$A$5,RawData!$D$2:$D$50000,"="&amp;Home!$E72))</f>
        <v>0</v>
      </c>
      <c r="H72" s="27">
        <f t="array" ref="H72">IFERROR(SUM(IF(FREQUENCY(IF(RawData!$D$2:$D$50000=Home!E72,MATCH(RawData!$H$2:$H$50000,RawData!$H$2:$H$50000,0)),ROW(RawData!$D$2:$D$50000)-ROW(RawData!$D$2)+1),RawData!$J$2:$J$50000)),"")</f>
        <v>0.25</v>
      </c>
    </row>
    <row r="73" spans="5:14" x14ac:dyDescent="0.2">
      <c r="E73" s="24">
        <v>44341</v>
      </c>
      <c r="F73" s="25">
        <f>IF(E73="","",SUMIFS(RawData!$M$2:$M$50000,RawData!$B$2:$B$50000,"="&amp;Home!$A$5,RawData!$D$2:$D$50000,"="&amp;Home!$E73))</f>
        <v>4</v>
      </c>
      <c r="G73" s="26">
        <f>IF(E73="","",SUMIFS(RawData!$N$2:$N$50000,RawData!$B$2:$B$50000,"="&amp;Home!$A$5,RawData!$D$2:$D$50000,"="&amp;Home!$E73))</f>
        <v>0</v>
      </c>
      <c r="H73" s="27">
        <f t="array" ref="H73">IFERROR(SUM(IF(FREQUENCY(IF(RawData!$D$2:$D$50000=Home!E73,MATCH(RawData!$H$2:$H$50000,RawData!$H$2:$H$50000,0)),ROW(RawData!$D$2:$D$50000)-ROW(RawData!$D$2)+1),RawData!$J$2:$J$50000)),"")</f>
        <v>0.14583333333575865</v>
      </c>
    </row>
    <row r="74" spans="5:14" x14ac:dyDescent="0.2">
      <c r="E74" s="24">
        <v>44342</v>
      </c>
      <c r="F74" s="25">
        <f>IF(E74="","",SUMIFS(RawData!$M$2:$M$50000,RawData!$B$2:$B$50000,"="&amp;Home!$A$5,RawData!$D$2:$D$50000,"="&amp;Home!$E74))</f>
        <v>15</v>
      </c>
      <c r="G74" s="26">
        <f>IF(E74="","",SUMIFS(RawData!$N$2:$N$50000,RawData!$B$2:$B$50000,"="&amp;Home!$A$5,RawData!$D$2:$D$50000,"="&amp;Home!$E74))</f>
        <v>0</v>
      </c>
      <c r="H74" s="27">
        <f t="array" ref="H74">IFERROR(SUM(IF(FREQUENCY(IF(RawData!$D$2:$D$50000=Home!E74,MATCH(RawData!$H$2:$H$50000,RawData!$H$2:$H$50000,0)),ROW(RawData!$D$2:$D$50000)-ROW(RawData!$D$2)+1),RawData!$J$2:$J$50000)),"")</f>
        <v>0.26041666666424135</v>
      </c>
    </row>
    <row r="75" spans="5:14" x14ac:dyDescent="0.2">
      <c r="E75" s="24">
        <v>44343</v>
      </c>
      <c r="F75" s="25">
        <f>IF(E75="","",SUMIFS(RawData!$M$2:$M$50000,RawData!$B$2:$B$50000,"="&amp;Home!$A$5,RawData!$D$2:$D$50000,"="&amp;Home!$E75))</f>
        <v>1</v>
      </c>
      <c r="G75" s="26">
        <f>IF(E75="","",SUMIFS(RawData!$N$2:$N$50000,RawData!$B$2:$B$50000,"="&amp;Home!$A$5,RawData!$D$2:$D$50000,"="&amp;Home!$E75))</f>
        <v>0</v>
      </c>
      <c r="H75" s="27">
        <f t="array" ref="H75">IFERROR(SUM(IF(FREQUENCY(IF(RawData!$D$2:$D$50000=Home!E75,MATCH(RawData!$H$2:$H$50000,RawData!$H$2:$H$50000,0)),ROW(RawData!$D$2:$D$50000)-ROW(RawData!$D$2)+1),RawData!$J$2:$J$50000)),"")</f>
        <v>0.11458333333575865</v>
      </c>
    </row>
    <row r="76" spans="5:14" x14ac:dyDescent="0.2">
      <c r="E76" s="24">
        <v>44344</v>
      </c>
      <c r="F76" s="25">
        <f>IF(E76="","",SUMIFS(RawData!$M$2:$M$50000,RawData!$B$2:$B$50000,"="&amp;Home!$A$5,RawData!$D$2:$D$50000,"="&amp;Home!$E76))</f>
        <v>3</v>
      </c>
      <c r="G76" s="26">
        <f>IF(E76="","",SUMIFS(RawData!$N$2:$N$50000,RawData!$B$2:$B$50000,"="&amp;Home!$A$5,RawData!$D$2:$D$50000,"="&amp;Home!$E76))</f>
        <v>0</v>
      </c>
      <c r="H76" s="27">
        <f t="array" ref="H76">IFERROR(SUM(IF(FREQUENCY(IF(RawData!$D$2:$D$50000=Home!E76,MATCH(RawData!$H$2:$H$50000,RawData!$H$2:$H$50000,0)),ROW(RawData!$D$2:$D$50000)-ROW(RawData!$D$2)+1),RawData!$J$2:$J$50000)),"")</f>
        <v>0.25</v>
      </c>
    </row>
    <row r="77" spans="5:14" x14ac:dyDescent="0.2">
      <c r="E77" s="24">
        <v>44348</v>
      </c>
      <c r="F77" s="25">
        <f>IF(E77="","",SUMIFS(RawData!$M$2:$M$50000,RawData!$B$2:$B$50000,"="&amp;Home!$A$5,RawData!$D$2:$D$50000,"="&amp;Home!$E77))</f>
        <v>8</v>
      </c>
      <c r="G77" s="26">
        <f>IF(E77="","",SUMIFS(RawData!$N$2:$N$50000,RawData!$B$2:$B$50000,"="&amp;Home!$A$5,RawData!$D$2:$D$50000,"="&amp;Home!$E77))</f>
        <v>0</v>
      </c>
      <c r="H77" s="27">
        <f t="array" ref="H77">IFERROR(SUM(IF(FREQUENCY(IF(RawData!$D$2:$D$50000=Home!E77,MATCH(RawData!$H$2:$H$50000,RawData!$H$2:$H$50000,0)),ROW(RawData!$D$2:$D$50000)-ROW(RawData!$D$2)+1),RawData!$J$2:$J$50000)),"")</f>
        <v>0.23750000000291038</v>
      </c>
    </row>
    <row r="78" spans="5:14" x14ac:dyDescent="0.2">
      <c r="E78" s="24">
        <v>44349</v>
      </c>
      <c r="F78" s="25">
        <f>IF(E78="","",SUMIFS(RawData!$M$2:$M$50000,RawData!$B$2:$B$50000,"="&amp;Home!$A$5,RawData!$D$2:$D$50000,"="&amp;Home!$E78))</f>
        <v>0</v>
      </c>
      <c r="G78" s="26">
        <f>IF(E78="","",SUMIFS(RawData!$N$2:$N$50000,RawData!$B$2:$B$50000,"="&amp;Home!$A$5,RawData!$D$2:$D$50000,"="&amp;Home!$E78))</f>
        <v>0</v>
      </c>
      <c r="H78" s="27">
        <f t="array" ref="H78">IFERROR(SUM(IF(FREQUENCY(IF(RawData!$D$2:$D$50000=Home!E78,MATCH(RawData!$H$2:$H$50000,RawData!$H$2:$H$50000,0)),ROW(RawData!$D$2:$D$50000)-ROW(RawData!$D$2)+1),RawData!$J$2:$J$50000)),"")</f>
        <v>0.22777777778537711</v>
      </c>
    </row>
    <row r="79" spans="5:14" x14ac:dyDescent="0.2">
      <c r="E79" s="24">
        <v>44350</v>
      </c>
      <c r="F79" s="25">
        <f>IF(E79="","",SUMIFS(RawData!$M$2:$M$50000,RawData!$B$2:$B$50000,"="&amp;Home!$A$5,RawData!$D$2:$D$50000,"="&amp;Home!$E79))</f>
        <v>0</v>
      </c>
      <c r="G79" s="26">
        <f>IF(E79="","",SUMIFS(RawData!$N$2:$N$50000,RawData!$B$2:$B$50000,"="&amp;Home!$A$5,RawData!$D$2:$D$50000,"="&amp;Home!$E79))</f>
        <v>0</v>
      </c>
      <c r="H79" s="27">
        <f t="array" ref="H79">IFERROR(SUM(IF(FREQUENCY(IF(RawData!$D$2:$D$50000=Home!E79,MATCH(RawData!$H$2:$H$50000,RawData!$H$2:$H$50000,0)),ROW(RawData!$D$2:$D$50000)-ROW(RawData!$D$2)+1),RawData!$J$2:$J$50000)),"")</f>
        <v>0.14583333332848269</v>
      </c>
    </row>
    <row r="80" spans="5:14" x14ac:dyDescent="0.2">
      <c r="E80" s="24">
        <v>44351</v>
      </c>
      <c r="F80" s="25">
        <f>IF(E80="","",SUMIFS(RawData!$M$2:$M$50000,RawData!$B$2:$B$50000,"="&amp;Home!$A$5,RawData!$D$2:$D$50000,"="&amp;Home!$E80))</f>
        <v>6</v>
      </c>
      <c r="G80" s="26">
        <f>IF(E80="","",SUMIFS(RawData!$N$2:$N$50000,RawData!$B$2:$B$50000,"="&amp;Home!$A$5,RawData!$D$2:$D$50000,"="&amp;Home!$E80))</f>
        <v>0</v>
      </c>
      <c r="H80" s="27">
        <f t="array" ref="H80">IFERROR(SUM(IF(FREQUENCY(IF(RawData!$D$2:$D$50000=Home!E80,MATCH(RawData!$H$2:$H$50000,RawData!$H$2:$H$50000,0)),ROW(RawData!$D$2:$D$50000)-ROW(RawData!$D$2)+1),RawData!$J$2:$J$50000)),"")</f>
        <v>0.25</v>
      </c>
    </row>
    <row r="81" spans="5:14" x14ac:dyDescent="0.2">
      <c r="E81" s="24">
        <v>44354</v>
      </c>
      <c r="F81" s="25">
        <f>IF(E81="","",SUMIFS(RawData!$M$2:$M$50000,RawData!$B$2:$B$50000,"="&amp;Home!$A$5,RawData!$D$2:$D$50000,"="&amp;Home!$E81))</f>
        <v>2</v>
      </c>
      <c r="G81" s="26">
        <f>IF(E81="","",SUMIFS(RawData!$N$2:$N$50000,RawData!$B$2:$B$50000,"="&amp;Home!$A$5,RawData!$D$2:$D$50000,"="&amp;Home!$E81))</f>
        <v>0</v>
      </c>
      <c r="H81" s="27">
        <f t="array" ref="H81">IFERROR(SUM(IF(FREQUENCY(IF(RawData!$D$2:$D$50000=Home!E81,MATCH(RawData!$H$2:$H$50000,RawData!$H$2:$H$50000,0)),ROW(RawData!$D$2:$D$50000)-ROW(RawData!$D$2)+1),RawData!$J$2:$J$50000)),"")</f>
        <v>0.22986111111822538</v>
      </c>
    </row>
    <row r="82" spans="5:14" x14ac:dyDescent="0.2">
      <c r="E82" s="24">
        <v>44355</v>
      </c>
      <c r="F82" s="25">
        <f>IF(E82="","",SUMIFS(RawData!$M$2:$M$50000,RawData!$B$2:$B$50000,"="&amp;Home!$A$5,RawData!$D$2:$D$50000,"="&amp;Home!$E82))</f>
        <v>0</v>
      </c>
      <c r="G82" s="26">
        <f>IF(E82="","",SUMIFS(RawData!$N$2:$N$50000,RawData!$B$2:$B$50000,"="&amp;Home!$A$5,RawData!$D$2:$D$50000,"="&amp;Home!$E82))</f>
        <v>0</v>
      </c>
      <c r="H82" s="27">
        <f t="array" ref="H82">IFERROR(SUM(IF(FREQUENCY(IF(RawData!$D$2:$D$50000=Home!E82,MATCH(RawData!$H$2:$H$50000,RawData!$H$2:$H$50000,0)),ROW(RawData!$D$2:$D$50000)-ROW(RawData!$D$2)+1),RawData!$J$2:$J$50000)),"")</f>
        <v>0.23958333333575865</v>
      </c>
    </row>
    <row r="83" spans="5:14" x14ac:dyDescent="0.2">
      <c r="E83" s="24">
        <v>44356</v>
      </c>
      <c r="F83" s="25">
        <f>IF(E83="","",SUMIFS(RawData!$M$2:$M$50000,RawData!$B$2:$B$50000,"="&amp;Home!$A$5,RawData!$D$2:$D$50000,"="&amp;Home!$E83))</f>
        <v>0</v>
      </c>
      <c r="G83" s="26">
        <f>IF(E83="","",SUMIFS(RawData!$N$2:$N$50000,RawData!$B$2:$B$50000,"="&amp;Home!$A$5,RawData!$D$2:$D$50000,"="&amp;Home!$E83))</f>
        <v>0</v>
      </c>
      <c r="H83" s="27">
        <f t="array" ref="H83">IFERROR(SUM(IF(FREQUENCY(IF(RawData!$D$2:$D$50000=Home!E83,MATCH(RawData!$H$2:$H$50000,RawData!$H$2:$H$50000,0)),ROW(RawData!$D$2:$D$50000)-ROW(RawData!$D$2)+1),RawData!$J$2:$J$50000)),"")</f>
        <v>0.23333333332993789</v>
      </c>
    </row>
    <row r="84" spans="5:14" x14ac:dyDescent="0.2">
      <c r="E84" s="24">
        <v>44357</v>
      </c>
      <c r="F84" s="25">
        <f>IF(E84="","",SUMIFS(RawData!$M$2:$M$50000,RawData!$B$2:$B$50000,"="&amp;Home!$A$5,RawData!$D$2:$D$50000,"="&amp;Home!$E84))</f>
        <v>0</v>
      </c>
      <c r="G84" s="26">
        <f>IF(E84="","",SUMIFS(RawData!$N$2:$N$50000,RawData!$B$2:$B$50000,"="&amp;Home!$A$5,RawData!$D$2:$D$50000,"="&amp;Home!$E84))</f>
        <v>0</v>
      </c>
      <c r="H84" s="27">
        <f t="array" ref="H84">IFERROR(SUM(IF(FREQUENCY(IF(RawData!$D$2:$D$50000=Home!E84,MATCH(RawData!$H$2:$H$50000,RawData!$H$2:$H$50000,0)),ROW(RawData!$D$2:$D$50000)-ROW(RawData!$D$2)+1),RawData!$J$2:$J$50000)),"")</f>
        <v>0.14583333332848269</v>
      </c>
    </row>
    <row r="85" spans="5:14" x14ac:dyDescent="0.2">
      <c r="E85" s="24">
        <v>44358</v>
      </c>
      <c r="F85" s="25">
        <f>IF(E85="","",SUMIFS(RawData!$M$2:$M$50000,RawData!$B$2:$B$50000,"="&amp;Home!$A$5,RawData!$D$2:$D$50000,"="&amp;Home!$E85))</f>
        <v>0</v>
      </c>
      <c r="G85" s="26">
        <f>IF(E85="","",SUMIFS(RawData!$N$2:$N$50000,RawData!$B$2:$B$50000,"="&amp;Home!$A$5,RawData!$D$2:$D$50000,"="&amp;Home!$E85))</f>
        <v>0</v>
      </c>
      <c r="H85" s="27">
        <f t="array" ref="H85">IFERROR(SUM(IF(FREQUENCY(IF(RawData!$D$2:$D$50000=Home!E85,MATCH(RawData!$H$2:$H$50000,RawData!$H$2:$H$50000,0)),ROW(RawData!$D$2:$D$50000)-ROW(RawData!$D$2)+1),RawData!$J$2:$J$50000)),"")</f>
        <v>0.22916666667151731</v>
      </c>
    </row>
    <row r="86" spans="5:14" x14ac:dyDescent="0.2">
      <c r="E86" s="24">
        <v>44361</v>
      </c>
      <c r="F86" s="25">
        <f>IF(E86="","",SUMIFS(RawData!$M$2:$M$50000,RawData!$B$2:$B$50000,"="&amp;Home!$A$5,RawData!$D$2:$D$50000,"="&amp;Home!$E86))</f>
        <v>6</v>
      </c>
      <c r="G86" s="26">
        <f>IF(E86="","",SUMIFS(RawData!$N$2:$N$50000,RawData!$B$2:$B$50000,"="&amp;Home!$A$5,RawData!$D$2:$D$50000,"="&amp;Home!$E86))</f>
        <v>0</v>
      </c>
      <c r="H86" s="27">
        <f t="array" ref="H86">IFERROR(SUM(IF(FREQUENCY(IF(RawData!$D$2:$D$50000=Home!E86,MATCH(RawData!$H$2:$H$50000,RawData!$H$2:$H$50000,0)),ROW(RawData!$D$2:$D$50000)-ROW(RawData!$D$2)+1),RawData!$J$2:$J$50000)),"")</f>
        <v>0.24375000000873115</v>
      </c>
    </row>
    <row r="87" spans="5:14" x14ac:dyDescent="0.2">
      <c r="E87" s="24">
        <v>44363</v>
      </c>
      <c r="F87" s="25">
        <f>IF(E87="","",SUMIFS(RawData!$M$2:$M$50000,RawData!$B$2:$B$50000,"="&amp;Home!$A$5,RawData!$D$2:$D$50000,"="&amp;Home!$E87))</f>
        <v>2</v>
      </c>
      <c r="G87" s="26">
        <f>IF(E87="","",SUMIFS(RawData!$N$2:$N$50000,RawData!$B$2:$B$50000,"="&amp;Home!$A$5,RawData!$D$2:$D$50000,"="&amp;Home!$E87))</f>
        <v>0</v>
      </c>
      <c r="H87" s="27">
        <f t="array" ref="H87">IFERROR(SUM(IF(FREQUENCY(IF(RawData!$D$2:$D$50000=Home!E87,MATCH(RawData!$H$2:$H$50000,RawData!$H$2:$H$50000,0)),ROW(RawData!$D$2:$D$50000)-ROW(RawData!$D$2)+1),RawData!$J$2:$J$50000)),"")</f>
        <v>0.13541666666424135</v>
      </c>
    </row>
    <row r="88" spans="5:14" ht="19" x14ac:dyDescent="0.25">
      <c r="E88" s="24">
        <v>44364</v>
      </c>
      <c r="F88" s="25">
        <f>IF(E88="","",SUMIFS(RawData!$M$2:$M$50000,RawData!$B$2:$B$50000,"="&amp;Home!$A$5,RawData!$D$2:$D$50000,"="&amp;Home!$E88))</f>
        <v>0</v>
      </c>
      <c r="G88" s="26">
        <f>IF(E88="","",SUMIFS(RawData!$N$2:$N$50000,RawData!$B$2:$B$50000,"="&amp;Home!$A$5,RawData!$D$2:$D$50000,"="&amp;Home!$E88))</f>
        <v>0</v>
      </c>
      <c r="H88" s="27">
        <f t="array" ref="H88">IFERROR(SUM(IF(FREQUENCY(IF(RawData!$D$2:$D$50000=Home!E88,MATCH(RawData!$H$2:$H$50000,RawData!$H$2:$H$50000,0)),ROW(RawData!$D$2:$D$50000)-ROW(RawData!$D$2)+1),RawData!$J$2:$J$50000)),"")</f>
        <v>0.14583333332848269</v>
      </c>
      <c r="N88" s="38" t="s">
        <v>168</v>
      </c>
    </row>
    <row r="89" spans="5:14" x14ac:dyDescent="0.2">
      <c r="E89" s="24">
        <v>44365</v>
      </c>
      <c r="F89" s="25">
        <f>IF(E89="","",SUMIFS(RawData!$M$2:$M$50000,RawData!$B$2:$B$50000,"="&amp;Home!$A$5,RawData!$D$2:$D$50000,"="&amp;Home!$E89))</f>
        <v>0</v>
      </c>
      <c r="G89" s="26">
        <f>IF(E89="","",SUMIFS(RawData!$N$2:$N$50000,RawData!$B$2:$B$50000,"="&amp;Home!$A$5,RawData!$D$2:$D$50000,"="&amp;Home!$E89))</f>
        <v>0</v>
      </c>
      <c r="H89" s="27">
        <f t="array" ref="H89">IFERROR(SUM(IF(FREQUENCY(IF(RawData!$D$2:$D$50000=Home!E89,MATCH(RawData!$H$2:$H$50000,RawData!$H$2:$H$50000,0)),ROW(RawData!$D$2:$D$50000)-ROW(RawData!$D$2)+1),RawData!$J$2:$J$50000)),"")</f>
        <v>0.25</v>
      </c>
    </row>
    <row r="90" spans="5:14" x14ac:dyDescent="0.2">
      <c r="E90" s="24">
        <v>44375</v>
      </c>
      <c r="F90" s="25">
        <f>IF(E90="","",SUMIFS(RawData!$M$2:$M$50000,RawData!$B$2:$B$50000,"="&amp;Home!$A$5,RawData!$D$2:$D$50000,"="&amp;Home!$E90))</f>
        <v>5</v>
      </c>
      <c r="G90" s="26">
        <f>IF(E90="","",SUMIFS(RawData!$N$2:$N$50000,RawData!$B$2:$B$50000,"="&amp;Home!$A$5,RawData!$D$2:$D$50000,"="&amp;Home!$E90))</f>
        <v>0</v>
      </c>
      <c r="H90" s="27">
        <f t="array" ref="H90">IFERROR(SUM(IF(FREQUENCY(IF(RawData!$D$2:$D$50000=Home!E90,MATCH(RawData!$H$2:$H$50000,RawData!$H$2:$H$50000,0)),ROW(RawData!$D$2:$D$50000)-ROW(RawData!$D$2)+1),RawData!$J$2:$J$50000)),"")</f>
        <v>0.12986111111240461</v>
      </c>
    </row>
    <row r="91" spans="5:14" x14ac:dyDescent="0.2">
      <c r="E91" s="28"/>
      <c r="F91" s="25" t="str">
        <f>IF(E91="","",SUMIFS(RawData!$M$2:$M$50000,RawData!$B$2:$B$50000,"="&amp;Home!$A$5,RawData!$D$2:$D$50000,"="&amp;Home!$E91))</f>
        <v/>
      </c>
      <c r="G91" s="26" t="str">
        <f>IF(E91="","",SUMIFS(RawData!$N$2:$N$50000,RawData!$B$2:$B$50000,"="&amp;Home!$A$5,RawData!$D$2:$D$50000,"="&amp;Home!$E91))</f>
        <v/>
      </c>
      <c r="H91" s="27" t="str">
        <f t="array" ref="H91">IFERROR(SUM(IF(FREQUENCY(IF(RawData!$D$2:$D$50000=Home!E91,MATCH(RawData!$H$2:$H$50000,RawData!$H$2:$H$50000,0)),ROW(RawData!$D$2:$D$50000)-ROW(RawData!$D$2)+1),RawData!$J$2:$J$50000)),"")</f>
        <v/>
      </c>
    </row>
    <row r="92" spans="5:14" x14ac:dyDescent="0.2">
      <c r="E92" s="28"/>
      <c r="F92" s="25" t="str">
        <f>IF(E92="","",SUMIFS(RawData!$M$2:$M$50000,RawData!$B$2:$B$50000,"="&amp;Home!$A$5,RawData!$D$2:$D$50000,"="&amp;Home!$E92))</f>
        <v/>
      </c>
      <c r="G92" s="26" t="str">
        <f>IF(E92="","",SUMIFS(RawData!$N$2:$N$50000,RawData!$B$2:$B$50000,"="&amp;Home!$A$5,RawData!$D$2:$D$50000,"="&amp;Home!$E92))</f>
        <v/>
      </c>
      <c r="H92" s="27" t="str">
        <f t="array" ref="H92">IFERROR(SUM(IF(FREQUENCY(IF(RawData!$D$2:$D$50000=Home!E92,MATCH(RawData!$H$2:$H$50000,RawData!$H$2:$H$50000,0)),ROW(RawData!$D$2:$D$50000)-ROW(RawData!$D$2)+1),RawData!$J$2:$J$50000)),"")</f>
        <v/>
      </c>
    </row>
    <row r="93" spans="5:14" x14ac:dyDescent="0.2">
      <c r="E93" s="28"/>
      <c r="F93" s="25" t="str">
        <f>IF(E93="","",SUMIFS(RawData!$M$2:$M$50000,RawData!$B$2:$B$50000,"="&amp;Home!$A$5,RawData!$D$2:$D$50000,"="&amp;Home!$E93))</f>
        <v/>
      </c>
      <c r="G93" s="26" t="str">
        <f>IF(E93="","",SUMIFS(RawData!$N$2:$N$50000,RawData!$B$2:$B$50000,"="&amp;Home!$A$5,RawData!$D$2:$D$50000,"="&amp;Home!$E93))</f>
        <v/>
      </c>
      <c r="H93" s="27" t="str">
        <f t="array" ref="H93">IFERROR(SUM(IF(FREQUENCY(IF(RawData!$D$2:$D$50000=Home!E93,MATCH(RawData!$H$2:$H$50000,RawData!$H$2:$H$50000,0)),ROW(RawData!$D$2:$D$50000)-ROW(RawData!$D$2)+1),RawData!$J$2:$J$50000)),"")</f>
        <v/>
      </c>
    </row>
    <row r="94" spans="5:14" x14ac:dyDescent="0.2">
      <c r="E94" s="28"/>
      <c r="F94" s="25" t="str">
        <f>IF(E94="","",SUMIFS(RawData!$M$2:$M$50000,RawData!$B$2:$B$50000,"="&amp;Home!$A$5,RawData!$D$2:$D$50000,"="&amp;Home!$E94))</f>
        <v/>
      </c>
      <c r="G94" s="26" t="str">
        <f>IF(E94="","",SUMIFS(RawData!$N$2:$N$50000,RawData!$B$2:$B$50000,"="&amp;Home!$A$5,RawData!$D$2:$D$50000,"="&amp;Home!$E94))</f>
        <v/>
      </c>
      <c r="H94" s="27" t="str">
        <f t="array" ref="H94">IFERROR(SUM(IF(FREQUENCY(IF(RawData!$D$2:$D$50000=Home!E94,MATCH(RawData!$H$2:$H$50000,RawData!$H$2:$H$50000,0)),ROW(RawData!$D$2:$D$50000)-ROW(RawData!$D$2)+1),RawData!$J$2:$J$50000)),"")</f>
        <v/>
      </c>
    </row>
    <row r="95" spans="5:14" x14ac:dyDescent="0.2">
      <c r="E95" s="28"/>
      <c r="F95" s="25" t="str">
        <f>IF(E95="","",SUMIFS(RawData!$M$2:$M$50000,RawData!$B$2:$B$50000,"="&amp;Home!$A$5,RawData!$D$2:$D$50000,"="&amp;Home!$E95))</f>
        <v/>
      </c>
      <c r="G95" s="26" t="str">
        <f>IF(E95="","",SUMIFS(RawData!$N$2:$N$50000,RawData!$B$2:$B$50000,"="&amp;Home!$A$5,RawData!$D$2:$D$50000,"="&amp;Home!$E95))</f>
        <v/>
      </c>
      <c r="H95" s="27" t="str">
        <f t="array" ref="H95">IFERROR(SUM(IF(FREQUENCY(IF(RawData!$D$2:$D$50000=Home!E95,MATCH(RawData!$H$2:$H$50000,RawData!$H$2:$H$50000,0)),ROW(RawData!$D$2:$D$50000)-ROW(RawData!$D$2)+1),RawData!$J$2:$J$50000)),"")</f>
        <v/>
      </c>
    </row>
    <row r="96" spans="5:14" x14ac:dyDescent="0.2">
      <c r="E96" s="28"/>
      <c r="F96" s="25" t="str">
        <f>IF(E96="","",SUMIFS(RawData!$M$2:$M$50000,RawData!$B$2:$B$50000,"="&amp;Home!$A$5,RawData!$D$2:$D$50000,"="&amp;Home!$E96))</f>
        <v/>
      </c>
      <c r="G96" s="26" t="str">
        <f>IF(E96="","",SUMIFS(RawData!$N$2:$N$50000,RawData!$B$2:$B$50000,"="&amp;Home!$A$5,RawData!$D$2:$D$50000,"="&amp;Home!$E96))</f>
        <v/>
      </c>
      <c r="H96" s="27" t="str">
        <f t="array" ref="H96">IFERROR(SUM(IF(FREQUENCY(IF(RawData!$D$2:$D$50000=Home!E96,MATCH(RawData!$H$2:$H$50000,RawData!$H$2:$H$50000,0)),ROW(RawData!$D$2:$D$50000)-ROW(RawData!$D$2)+1),RawData!$J$2:$J$50000)),"")</f>
        <v/>
      </c>
    </row>
    <row r="97" spans="5:14" x14ac:dyDescent="0.2">
      <c r="E97" s="28"/>
      <c r="F97" s="25" t="str">
        <f>IF(E97="","",SUMIFS(RawData!$M$2:$M$50000,RawData!$B$2:$B$50000,"="&amp;Home!$A$5,RawData!$D$2:$D$50000,"="&amp;Home!$E97))</f>
        <v/>
      </c>
      <c r="G97" s="26" t="str">
        <f>IF(E97="","",SUMIFS(RawData!$N$2:$N$50000,RawData!$B$2:$B$50000,"="&amp;Home!$A$5,RawData!$D$2:$D$50000,"="&amp;Home!$E97))</f>
        <v/>
      </c>
      <c r="H97" s="27" t="str">
        <f t="array" ref="H97">IFERROR(SUM(IF(FREQUENCY(IF(RawData!$D$2:$D$50000=Home!E97,MATCH(RawData!$H$2:$H$50000,RawData!$H$2:$H$50000,0)),ROW(RawData!$D$2:$D$50000)-ROW(RawData!$D$2)+1),RawData!$J$2:$J$50000)),"")</f>
        <v/>
      </c>
    </row>
    <row r="98" spans="5:14" x14ac:dyDescent="0.2">
      <c r="E98" s="28"/>
      <c r="F98" s="25" t="str">
        <f>IF(E98="","",SUMIFS(RawData!$M$2:$M$50000,RawData!$B$2:$B$50000,"="&amp;Home!$A$5,RawData!$D$2:$D$50000,"="&amp;Home!$E98))</f>
        <v/>
      </c>
      <c r="G98" s="26" t="str">
        <f>IF(E98="","",SUMIFS(RawData!$N$2:$N$50000,RawData!$B$2:$B$50000,"="&amp;Home!$A$5,RawData!$D$2:$D$50000,"="&amp;Home!$E98))</f>
        <v/>
      </c>
      <c r="H98" s="27" t="str">
        <f t="array" ref="H98">IFERROR(SUM(IF(FREQUENCY(IF(RawData!$D$2:$D$50000=Home!E98,MATCH(RawData!$H$2:$H$50000,RawData!$H$2:$H$50000,0)),ROW(RawData!$D$2:$D$50000)-ROW(RawData!$D$2)+1),RawData!$J$2:$J$50000)),"")</f>
        <v/>
      </c>
    </row>
    <row r="99" spans="5:14" x14ac:dyDescent="0.2">
      <c r="E99" s="28"/>
      <c r="F99" s="25" t="str">
        <f>IF(E99="","",SUMIFS(RawData!$M$2:$M$50000,RawData!$B$2:$B$50000,"="&amp;Home!$A$5,RawData!$D$2:$D$50000,"="&amp;Home!$E99))</f>
        <v/>
      </c>
      <c r="G99" s="26" t="str">
        <f>IF(E99="","",SUMIFS(RawData!$N$2:$N$50000,RawData!$B$2:$B$50000,"="&amp;Home!$A$5,RawData!$D$2:$D$50000,"="&amp;Home!$E99))</f>
        <v/>
      </c>
      <c r="H99" s="27" t="str">
        <f t="array" ref="H99">IFERROR(SUM(IF(FREQUENCY(IF(RawData!$D$2:$D$50000=Home!E99,MATCH(RawData!$H$2:$H$50000,RawData!$H$2:$H$50000,0)),ROW(RawData!$D$2:$D$50000)-ROW(RawData!$D$2)+1),RawData!$J$2:$J$50000)),"")</f>
        <v/>
      </c>
    </row>
    <row r="100" spans="5:14" x14ac:dyDescent="0.2">
      <c r="E100" s="28"/>
      <c r="F100" s="25" t="str">
        <f>IF(E100="","",SUMIFS(RawData!$M$2:$M$50000,RawData!$B$2:$B$50000,"="&amp;Home!$A$5,RawData!$D$2:$D$50000,"="&amp;Home!$E100))</f>
        <v/>
      </c>
      <c r="G100" s="26" t="str">
        <f>IF(E100="","",SUMIFS(RawData!$N$2:$N$50000,RawData!$B$2:$B$50000,"="&amp;Home!$A$5,RawData!$D$2:$D$50000,"="&amp;Home!$E100))</f>
        <v/>
      </c>
      <c r="H100" s="27" t="str">
        <f t="array" ref="H100">IFERROR(SUM(IF(FREQUENCY(IF(RawData!$D$2:$D$50000=Home!E100,MATCH(RawData!$H$2:$H$50000,RawData!$H$2:$H$50000,0)),ROW(RawData!$D$2:$D$50000)-ROW(RawData!$D$2)+1),RawData!$J$2:$J$50000)),"")</f>
        <v/>
      </c>
    </row>
    <row r="101" spans="5:14" x14ac:dyDescent="0.2">
      <c r="E101" s="28"/>
      <c r="F101" s="25" t="str">
        <f>IF(E101="","",SUMIFS(RawData!$M$2:$M$50000,RawData!$B$2:$B$50000,"="&amp;Home!$A$5,RawData!$D$2:$D$50000,"="&amp;Home!$E101))</f>
        <v/>
      </c>
      <c r="G101" s="26" t="str">
        <f>IF(E101="","",SUMIFS(RawData!$N$2:$N$50000,RawData!$B$2:$B$50000,"="&amp;Home!$A$5,RawData!$D$2:$D$50000,"="&amp;Home!$E101))</f>
        <v/>
      </c>
      <c r="H101" s="27" t="str">
        <f t="array" ref="H101">IFERROR(SUM(IF(FREQUENCY(IF(RawData!$D$2:$D$50000=Home!E101,MATCH(RawData!$H$2:$H$50000,RawData!$H$2:$H$50000,0)),ROW(RawData!$D$2:$D$50000)-ROW(RawData!$D$2)+1),RawData!$J$2:$J$50000)),"")</f>
        <v/>
      </c>
    </row>
    <row r="102" spans="5:14" x14ac:dyDescent="0.2">
      <c r="E102" s="28"/>
      <c r="F102" s="25" t="str">
        <f>IF(E102="","",SUMIFS(RawData!$M$2:$M$50000,RawData!$B$2:$B$50000,"="&amp;Home!$A$5,RawData!$D$2:$D$50000,"="&amp;Home!$E102))</f>
        <v/>
      </c>
      <c r="G102" s="26" t="str">
        <f>IF(E102="","",SUMIFS(RawData!$N$2:$N$50000,RawData!$B$2:$B$50000,"="&amp;Home!$A$5,RawData!$D$2:$D$50000,"="&amp;Home!$E102))</f>
        <v/>
      </c>
      <c r="H102" s="27" t="str">
        <f t="array" ref="H102">IFERROR(SUM(IF(FREQUENCY(IF(RawData!$D$2:$D$50000=Home!E102,MATCH(RawData!$H$2:$H$50000,RawData!$H$2:$H$50000,0)),ROW(RawData!$D$2:$D$50000)-ROW(RawData!$D$2)+1),RawData!$J$2:$J$50000)),"")</f>
        <v/>
      </c>
    </row>
    <row r="103" spans="5:14" x14ac:dyDescent="0.2">
      <c r="E103" s="28"/>
      <c r="F103" s="25" t="str">
        <f>IF(E103="","",SUMIFS(RawData!$M$2:$M$50000,RawData!$B$2:$B$50000,"="&amp;Home!$A$5,RawData!$D$2:$D$50000,"="&amp;Home!$E103))</f>
        <v/>
      </c>
      <c r="G103" s="26" t="str">
        <f>IF(E103="","",SUMIFS(RawData!$N$2:$N$50000,RawData!$B$2:$B$50000,"="&amp;Home!$A$5,RawData!$D$2:$D$50000,"="&amp;Home!$E103))</f>
        <v/>
      </c>
      <c r="H103" s="27" t="str">
        <f t="array" ref="H103">IFERROR(SUM(IF(FREQUENCY(IF(RawData!$D$2:$D$50000=Home!E103,MATCH(RawData!$H$2:$H$50000,RawData!$H$2:$H$50000,0)),ROW(RawData!$D$2:$D$50000)-ROW(RawData!$D$2)+1),RawData!$J$2:$J$50000)),"")</f>
        <v/>
      </c>
    </row>
    <row r="104" spans="5:14" x14ac:dyDescent="0.2">
      <c r="E104" s="28"/>
      <c r="F104" s="25" t="str">
        <f>IF(E104="","",SUMIFS(RawData!$M$2:$M$50000,RawData!$B$2:$B$50000,"="&amp;Home!$A$5,RawData!$D$2:$D$50000,"="&amp;Home!$E104))</f>
        <v/>
      </c>
      <c r="G104" s="26" t="str">
        <f>IF(E104="","",SUMIFS(RawData!$N$2:$N$50000,RawData!$B$2:$B$50000,"="&amp;Home!$A$5,RawData!$D$2:$D$50000,"="&amp;Home!$E104))</f>
        <v/>
      </c>
      <c r="H104" s="27" t="str">
        <f t="array" ref="H104">IFERROR(SUM(IF(FREQUENCY(IF(RawData!$D$2:$D$50000=Home!E104,MATCH(RawData!$H$2:$H$50000,RawData!$H$2:$H$50000,0)),ROW(RawData!$D$2:$D$50000)-ROW(RawData!$D$2)+1),RawData!$J$2:$J$50000)),"")</f>
        <v/>
      </c>
    </row>
    <row r="105" spans="5:14" ht="19" x14ac:dyDescent="0.25">
      <c r="E105" s="28"/>
      <c r="F105" s="25" t="str">
        <f>IF(E105="","",SUMIFS(RawData!$M$2:$M$50000,RawData!$B$2:$B$50000,"="&amp;Home!$A$5,RawData!$D$2:$D$50000,"="&amp;Home!$E105))</f>
        <v/>
      </c>
      <c r="G105" s="26" t="str">
        <f>IF(E105="","",SUMIFS(RawData!$N$2:$N$50000,RawData!$B$2:$B$50000,"="&amp;Home!$A$5,RawData!$D$2:$D$50000,"="&amp;Home!$E105))</f>
        <v/>
      </c>
      <c r="H105" s="27" t="str">
        <f t="array" ref="H105">IFERROR(SUM(IF(FREQUENCY(IF(RawData!$D$2:$D$50000=Home!E105,MATCH(RawData!$H$2:$H$50000,RawData!$H$2:$H$50000,0)),ROW(RawData!$D$2:$D$50000)-ROW(RawData!$D$2)+1),RawData!$J$2:$J$50000)),"")</f>
        <v/>
      </c>
      <c r="N105" s="38" t="s">
        <v>169</v>
      </c>
    </row>
    <row r="106" spans="5:14" x14ac:dyDescent="0.2">
      <c r="E106" s="28"/>
      <c r="F106" s="25" t="str">
        <f>IF(E106="","",SUMIFS(RawData!$M$2:$M$50000,RawData!$B$2:$B$50000,"="&amp;Home!$A$5,RawData!$D$2:$D$50000,"="&amp;Home!$E106))</f>
        <v/>
      </c>
      <c r="G106" s="26" t="str">
        <f>IF(E106="","",SUMIFS(RawData!$N$2:$N$50000,RawData!$B$2:$B$50000,"="&amp;Home!$A$5,RawData!$D$2:$D$50000,"="&amp;Home!$E106))</f>
        <v/>
      </c>
      <c r="H106" s="27" t="str">
        <f t="array" ref="H106">IFERROR(SUM(IF(FREQUENCY(IF(RawData!$D$2:$D$50000=Home!E106,MATCH(RawData!$H$2:$H$50000,RawData!$H$2:$H$50000,0)),ROW(RawData!$D$2:$D$50000)-ROW(RawData!$D$2)+1),RawData!$J$2:$J$50000)),"")</f>
        <v/>
      </c>
    </row>
    <row r="107" spans="5:14" x14ac:dyDescent="0.2">
      <c r="E107" s="28"/>
      <c r="F107" s="25" t="str">
        <f>IF(E107="","",SUMIFS(RawData!$M$2:$M$50000,RawData!$B$2:$B$50000,"="&amp;Home!$A$5,RawData!$D$2:$D$50000,"="&amp;Home!$E107))</f>
        <v/>
      </c>
      <c r="G107" s="26" t="str">
        <f>IF(E107="","",SUMIFS(RawData!$N$2:$N$50000,RawData!$B$2:$B$50000,"="&amp;Home!$A$5,RawData!$D$2:$D$50000,"="&amp;Home!$E107))</f>
        <v/>
      </c>
      <c r="H107" s="27" t="str">
        <f t="array" ref="H107">IFERROR(SUM(IF(FREQUENCY(IF(RawData!$D$2:$D$50000=Home!E107,MATCH(RawData!$H$2:$H$50000,RawData!$H$2:$H$50000,0)),ROW(RawData!$D$2:$D$50000)-ROW(RawData!$D$2)+1),RawData!$J$2:$J$50000)),"")</f>
        <v/>
      </c>
    </row>
    <row r="108" spans="5:14" x14ac:dyDescent="0.2">
      <c r="E108" s="28"/>
      <c r="F108" s="25" t="str">
        <f>IF(E108="","",SUMIFS(RawData!$M$2:$M$50000,RawData!$B$2:$B$50000,"="&amp;Home!$A$5,RawData!$D$2:$D$50000,"="&amp;Home!$E108))</f>
        <v/>
      </c>
      <c r="G108" s="26" t="str">
        <f>IF(E108="","",SUMIFS(RawData!$N$2:$N$50000,RawData!$B$2:$B$50000,"="&amp;Home!$A$5,RawData!$D$2:$D$50000,"="&amp;Home!$E108))</f>
        <v/>
      </c>
      <c r="H108" s="27" t="str">
        <f t="array" ref="H108">IFERROR(SUM(IF(FREQUENCY(IF(RawData!$D$2:$D$50000=Home!E108,MATCH(RawData!$H$2:$H$50000,RawData!$H$2:$H$50000,0)),ROW(RawData!$D$2:$D$50000)-ROW(RawData!$D$2)+1),RawData!$J$2:$J$50000)),"")</f>
        <v/>
      </c>
    </row>
    <row r="109" spans="5:14" x14ac:dyDescent="0.2">
      <c r="E109" s="28"/>
      <c r="F109" s="25" t="str">
        <f>IF(E109="","",SUMIFS(RawData!$M$2:$M$50000,RawData!$B$2:$B$50000,"="&amp;Home!$A$5,RawData!$D$2:$D$50000,"="&amp;Home!$E109))</f>
        <v/>
      </c>
      <c r="G109" s="26" t="str">
        <f>IF(E109="","",SUMIFS(RawData!$N$2:$N$50000,RawData!$B$2:$B$50000,"="&amp;Home!$A$5,RawData!$D$2:$D$50000,"="&amp;Home!$E109))</f>
        <v/>
      </c>
      <c r="H109" s="27" t="str">
        <f t="array" ref="H109">IFERROR(SUM(IF(FREQUENCY(IF(RawData!$D$2:$D$50000=Home!E109,MATCH(RawData!$H$2:$H$50000,RawData!$H$2:$H$50000,0)),ROW(RawData!$D$2:$D$50000)-ROW(RawData!$D$2)+1),RawData!$J$2:$J$50000)),"")</f>
        <v/>
      </c>
    </row>
    <row r="110" spans="5:14" x14ac:dyDescent="0.2">
      <c r="E110" s="28"/>
      <c r="F110" s="25" t="str">
        <f>IF(E110="","",SUMIFS(RawData!$M$2:$M$50000,RawData!$B$2:$B$50000,"="&amp;Home!$A$5,RawData!$D$2:$D$50000,"="&amp;Home!$E110))</f>
        <v/>
      </c>
      <c r="G110" s="26" t="str">
        <f>IF(E110="","",SUMIFS(RawData!$N$2:$N$50000,RawData!$B$2:$B$50000,"="&amp;Home!$A$5,RawData!$D$2:$D$50000,"="&amp;Home!$E110))</f>
        <v/>
      </c>
      <c r="H110" s="27" t="str">
        <f t="array" ref="H110">IFERROR(SUM(IF(FREQUENCY(IF(RawData!$D$2:$D$50000=Home!E110,MATCH(RawData!$H$2:$H$50000,RawData!$H$2:$H$50000,0)),ROW(RawData!$D$2:$D$50000)-ROW(RawData!$D$2)+1),RawData!$J$2:$J$50000)),"")</f>
        <v/>
      </c>
    </row>
    <row r="111" spans="5:14" x14ac:dyDescent="0.2">
      <c r="E111" s="28"/>
      <c r="F111" s="25" t="str">
        <f>IF(E111="","",SUMIFS(RawData!$M$2:$M$50000,RawData!$B$2:$B$50000,"="&amp;Home!$A$5,RawData!$D$2:$D$50000,"="&amp;Home!$E111))</f>
        <v/>
      </c>
      <c r="G111" s="26" t="str">
        <f>IF(E111="","",SUMIFS(RawData!$N$2:$N$50000,RawData!$B$2:$B$50000,"="&amp;Home!$A$5,RawData!$D$2:$D$50000,"="&amp;Home!$E111))</f>
        <v/>
      </c>
      <c r="H111" s="27" t="str">
        <f t="array" ref="H111">IFERROR(SUM(IF(FREQUENCY(IF(RawData!$D$2:$D$50000=Home!E111,MATCH(RawData!$H$2:$H$50000,RawData!$H$2:$H$50000,0)),ROW(RawData!$D$2:$D$50000)-ROW(RawData!$D$2)+1),RawData!$J$2:$J$50000)),"")</f>
        <v/>
      </c>
    </row>
    <row r="112" spans="5:14" x14ac:dyDescent="0.2">
      <c r="E112" s="28"/>
      <c r="F112" s="25" t="str">
        <f>IF(E112="","",SUMIFS(RawData!$M$2:$M$50000,RawData!$B$2:$B$50000,"="&amp;Home!$A$5,RawData!$D$2:$D$50000,"="&amp;Home!$E112))</f>
        <v/>
      </c>
      <c r="G112" s="26" t="str">
        <f>IF(E112="","",SUMIFS(RawData!$N$2:$N$50000,RawData!$B$2:$B$50000,"="&amp;Home!$A$5,RawData!$D$2:$D$50000,"="&amp;Home!$E112))</f>
        <v/>
      </c>
      <c r="H112" s="27" t="str">
        <f t="array" ref="H112">IFERROR(SUM(IF(FREQUENCY(IF(RawData!$D$2:$D$50000=Home!E112,MATCH(RawData!$H$2:$H$50000,RawData!$H$2:$H$50000,0)),ROW(RawData!$D$2:$D$50000)-ROW(RawData!$D$2)+1),RawData!$J$2:$J$50000)),"")</f>
        <v/>
      </c>
    </row>
    <row r="113" spans="5:8" x14ac:dyDescent="0.2">
      <c r="E113" s="28"/>
      <c r="F113" s="25" t="str">
        <f>IF(E113="","",SUMIFS(RawData!$M$2:$M$50000,RawData!$B$2:$B$50000,"="&amp;Home!$A$5,RawData!$D$2:$D$50000,"="&amp;Home!$E113))</f>
        <v/>
      </c>
      <c r="G113" s="26" t="str">
        <f>IF(E113="","",SUMIFS(RawData!$N$2:$N$50000,RawData!$B$2:$B$50000,"="&amp;Home!$A$5,RawData!$D$2:$D$50000,"="&amp;Home!$E113))</f>
        <v/>
      </c>
      <c r="H113" s="27" t="str">
        <f t="array" ref="H113">IFERROR(SUM(IF(FREQUENCY(IF(RawData!$D$2:$D$50000=Home!E113,MATCH(RawData!$H$2:$H$50000,RawData!$H$2:$H$50000,0)),ROW(RawData!$D$2:$D$50000)-ROW(RawData!$D$2)+1),RawData!$J$2:$J$50000)),"")</f>
        <v/>
      </c>
    </row>
    <row r="114" spans="5:8" x14ac:dyDescent="0.2">
      <c r="E114" s="28"/>
      <c r="F114" s="25" t="str">
        <f>IF(E114="","",SUMIFS(RawData!$M$2:$M$50000,RawData!$B$2:$B$50000,"="&amp;Home!$A$5,RawData!$D$2:$D$50000,"="&amp;Home!$E114))</f>
        <v/>
      </c>
      <c r="G114" s="26" t="str">
        <f>IF(E114="","",SUMIFS(RawData!$N$2:$N$50000,RawData!$B$2:$B$50000,"="&amp;Home!$A$5,RawData!$D$2:$D$50000,"="&amp;Home!$E114))</f>
        <v/>
      </c>
      <c r="H114" s="27" t="str">
        <f t="array" ref="H114">IFERROR(SUM(IF(FREQUENCY(IF(RawData!$D$2:$D$50000=Home!E114,MATCH(RawData!$H$2:$H$50000,RawData!$H$2:$H$50000,0)),ROW(RawData!$D$2:$D$50000)-ROW(RawData!$D$2)+1),RawData!$J$2:$J$50000)),"")</f>
        <v/>
      </c>
    </row>
    <row r="115" spans="5:8" x14ac:dyDescent="0.2">
      <c r="E115" s="28"/>
      <c r="F115" s="25" t="str">
        <f>IF(E115="","",SUMIFS(RawData!$M$2:$M$50000,RawData!$B$2:$B$50000,"="&amp;Home!$A$5,RawData!$D$2:$D$50000,"="&amp;Home!$E115))</f>
        <v/>
      </c>
      <c r="G115" s="26" t="str">
        <f>IF(E115="","",SUMIFS(RawData!$N$2:$N$50000,RawData!$B$2:$B$50000,"="&amp;Home!$A$5,RawData!$D$2:$D$50000,"="&amp;Home!$E115))</f>
        <v/>
      </c>
      <c r="H115" s="27" t="str">
        <f t="array" ref="H115">IFERROR(SUM(IF(FREQUENCY(IF(RawData!$D$2:$D$50000=Home!E115,MATCH(RawData!$H$2:$H$50000,RawData!$H$2:$H$50000,0)),ROW(RawData!$D$2:$D$50000)-ROW(RawData!$D$2)+1),RawData!$J$2:$J$50000)),"")</f>
        <v/>
      </c>
    </row>
    <row r="116" spans="5:8" x14ac:dyDescent="0.2">
      <c r="E116" s="28"/>
      <c r="F116" s="25" t="str">
        <f>IF(E116="","",SUMIFS(RawData!$M$2:$M$50000,RawData!$B$2:$B$50000,"="&amp;Home!$A$5,RawData!$D$2:$D$50000,"="&amp;Home!$E116))</f>
        <v/>
      </c>
      <c r="G116" s="26" t="str">
        <f>IF(E116="","",SUMIFS(RawData!$N$2:$N$50000,RawData!$B$2:$B$50000,"="&amp;Home!$A$5,RawData!$D$2:$D$50000,"="&amp;Home!$E116))</f>
        <v/>
      </c>
      <c r="H116" s="27" t="str">
        <f t="array" ref="H116">IFERROR(SUM(IF(FREQUENCY(IF(RawData!$D$2:$D$50000=Home!E116,MATCH(RawData!$H$2:$H$50000,RawData!$H$2:$H$50000,0)),ROW(RawData!$D$2:$D$50000)-ROW(RawData!$D$2)+1),RawData!$J$2:$J$50000)),"")</f>
        <v/>
      </c>
    </row>
    <row r="117" spans="5:8" x14ac:dyDescent="0.2">
      <c r="E117" s="28"/>
      <c r="F117" s="25" t="str">
        <f>IF(E117="","",SUMIFS(RawData!$M$2:$M$50000,RawData!$B$2:$B$50000,"="&amp;Home!$A$5,RawData!$D$2:$D$50000,"="&amp;Home!$E117))</f>
        <v/>
      </c>
      <c r="G117" s="26" t="str">
        <f>IF(E117="","",SUMIFS(RawData!$N$2:$N$50000,RawData!$B$2:$B$50000,"="&amp;Home!$A$5,RawData!$D$2:$D$50000,"="&amp;Home!$E117))</f>
        <v/>
      </c>
      <c r="H117" s="27" t="str">
        <f t="array" ref="H117">IFERROR(SUM(IF(FREQUENCY(IF(RawData!$D$2:$D$50000=Home!E117,MATCH(RawData!$H$2:$H$50000,RawData!$H$2:$H$50000,0)),ROW(RawData!$D$2:$D$50000)-ROW(RawData!$D$2)+1),RawData!$J$2:$J$50000)),"")</f>
        <v/>
      </c>
    </row>
    <row r="118" spans="5:8" x14ac:dyDescent="0.2">
      <c r="E118" s="28"/>
      <c r="F118" s="25" t="str">
        <f>IF(E118="","",SUMIFS(RawData!$M$2:$M$50000,RawData!$B$2:$B$50000,"="&amp;Home!$A$5,RawData!$D$2:$D$50000,"="&amp;Home!$E118))</f>
        <v/>
      </c>
      <c r="G118" s="26" t="str">
        <f>IF(E118="","",SUMIFS(RawData!$N$2:$N$50000,RawData!$B$2:$B$50000,"="&amp;Home!$A$5,RawData!$D$2:$D$50000,"="&amp;Home!$E118))</f>
        <v/>
      </c>
      <c r="H118" s="27" t="str">
        <f t="array" ref="H118">IFERROR(SUM(IF(FREQUENCY(IF(RawData!$D$2:$D$50000=Home!E118,MATCH(RawData!$H$2:$H$50000,RawData!$H$2:$H$50000,0)),ROW(RawData!$D$2:$D$50000)-ROW(RawData!$D$2)+1),RawData!$J$2:$J$50000)),"")</f>
        <v/>
      </c>
    </row>
    <row r="119" spans="5:8" x14ac:dyDescent="0.2">
      <c r="E119" s="28"/>
      <c r="F119" s="25" t="str">
        <f>IF(E119="","",SUMIFS(RawData!$M$2:$M$50000,RawData!$B$2:$B$50000,"="&amp;Home!$A$5,RawData!$D$2:$D$50000,"="&amp;Home!$E119))</f>
        <v/>
      </c>
      <c r="G119" s="26" t="str">
        <f>IF(E119="","",SUMIFS(RawData!$N$2:$N$50000,RawData!$B$2:$B$50000,"="&amp;Home!$A$5,RawData!$D$2:$D$50000,"="&amp;Home!$E119))</f>
        <v/>
      </c>
      <c r="H119" s="27" t="str">
        <f t="array" ref="H119">IFERROR(SUM(IF(FREQUENCY(IF(RawData!$D$2:$D$50000=Home!E119,MATCH(RawData!$H$2:$H$50000,RawData!$H$2:$H$50000,0)),ROW(RawData!$D$2:$D$50000)-ROW(RawData!$D$2)+1),RawData!$J$2:$J$50000)),"")</f>
        <v/>
      </c>
    </row>
    <row r="120" spans="5:8" x14ac:dyDescent="0.2">
      <c r="E120" s="28"/>
      <c r="F120" s="25" t="str">
        <f>IF(E120="","",SUMIFS(RawData!$M$2:$M$50000,RawData!$B$2:$B$50000,"="&amp;Home!$A$5,RawData!$D$2:$D$50000,"="&amp;Home!$E120))</f>
        <v/>
      </c>
      <c r="G120" s="26" t="str">
        <f>IF(E120="","",SUMIFS(RawData!$N$2:$N$50000,RawData!$B$2:$B$50000,"="&amp;Home!$A$5,RawData!$D$2:$D$50000,"="&amp;Home!$E120))</f>
        <v/>
      </c>
      <c r="H120" s="27" t="str">
        <f t="array" ref="H120">IFERROR(SUM(IF(FREQUENCY(IF(RawData!$D$2:$D$50000=Home!E120,MATCH(RawData!$H$2:$H$50000,RawData!$H$2:$H$50000,0)),ROW(RawData!$D$2:$D$50000)-ROW(RawData!$D$2)+1),RawData!$J$2:$J$50000)),"")</f>
        <v/>
      </c>
    </row>
    <row r="121" spans="5:8" x14ac:dyDescent="0.2">
      <c r="E121" s="28"/>
      <c r="F121" s="25" t="str">
        <f>IF(E121="","",SUMIFS(RawData!$M$2:$M$50000,RawData!$B$2:$B$50000,"="&amp;Home!$A$5,RawData!$D$2:$D$50000,"="&amp;Home!$E121))</f>
        <v/>
      </c>
      <c r="G121" s="26" t="str">
        <f>IF(E121="","",SUMIFS(RawData!$N$2:$N$50000,RawData!$B$2:$B$50000,"="&amp;Home!$A$5,RawData!$D$2:$D$50000,"="&amp;Home!$E121))</f>
        <v/>
      </c>
      <c r="H121" s="27" t="str">
        <f t="array" ref="H121">IFERROR(SUM(IF(FREQUENCY(IF(RawData!$D$2:$D$50000=Home!E121,MATCH(RawData!$H$2:$H$50000,RawData!$H$2:$H$50000,0)),ROW(RawData!$D$2:$D$50000)-ROW(RawData!$D$2)+1),RawData!$J$2:$J$50000)),"")</f>
        <v/>
      </c>
    </row>
    <row r="122" spans="5:8" x14ac:dyDescent="0.2">
      <c r="E122" s="28"/>
      <c r="F122" s="25" t="str">
        <f>IF(E122="","",SUMIFS(RawData!$M$2:$M$50000,RawData!$B$2:$B$50000,"="&amp;Home!$A$5,RawData!$D$2:$D$50000,"="&amp;Home!$E122))</f>
        <v/>
      </c>
      <c r="G122" s="26" t="str">
        <f>IF(E122="","",SUMIFS(RawData!$N$2:$N$50000,RawData!$B$2:$B$50000,"="&amp;Home!$A$5,RawData!$D$2:$D$50000,"="&amp;Home!$E122))</f>
        <v/>
      </c>
      <c r="H122" s="27" t="str">
        <f t="array" ref="H122">IFERROR(SUM(IF(FREQUENCY(IF(RawData!$D$2:$D$50000=Home!E122,MATCH(RawData!$H$2:$H$50000,RawData!$H$2:$H$50000,0)),ROW(RawData!$D$2:$D$50000)-ROW(RawData!$D$2)+1),RawData!$J$2:$J$50000)),"")</f>
        <v/>
      </c>
    </row>
    <row r="123" spans="5:8" x14ac:dyDescent="0.2">
      <c r="E123" s="28"/>
      <c r="F123" s="25" t="str">
        <f>IF(E123="","",SUMIFS(RawData!$M$2:$M$50000,RawData!$B$2:$B$50000,"="&amp;Home!$A$5,RawData!$D$2:$D$50000,"="&amp;Home!$E123))</f>
        <v/>
      </c>
      <c r="G123" s="26" t="str">
        <f>IF(E123="","",SUMIFS(RawData!$N$2:$N$50000,RawData!$B$2:$B$50000,"="&amp;Home!$A$5,RawData!$D$2:$D$50000,"="&amp;Home!$E123))</f>
        <v/>
      </c>
      <c r="H123" s="27" t="str">
        <f t="array" ref="H123">IFERROR(SUM(IF(FREQUENCY(IF(RawData!$D$2:$D$50000=Home!E123,MATCH(RawData!$H$2:$H$50000,RawData!$H$2:$H$50000,0)),ROW(RawData!$D$2:$D$50000)-ROW(RawData!$D$2)+1),RawData!$J$2:$J$50000)),"")</f>
        <v/>
      </c>
    </row>
    <row r="124" spans="5:8" x14ac:dyDescent="0.2">
      <c r="E124" s="28"/>
      <c r="F124" s="25" t="str">
        <f>IF(E124="","",SUMIFS(RawData!$M$2:$M$50000,RawData!$B$2:$B$50000,"="&amp;Home!$A$5,RawData!$D$2:$D$50000,"="&amp;Home!$E124))</f>
        <v/>
      </c>
      <c r="G124" s="26" t="str">
        <f>IF(E124="","",SUMIFS(RawData!$N$2:$N$50000,RawData!$B$2:$B$50000,"="&amp;Home!$A$5,RawData!$D$2:$D$50000,"="&amp;Home!$E124))</f>
        <v/>
      </c>
      <c r="H124" s="27" t="str">
        <f t="array" ref="H124">IFERROR(SUM(IF(FREQUENCY(IF(RawData!$D$2:$D$50000=Home!E124,MATCH(RawData!$H$2:$H$50000,RawData!$H$2:$H$50000,0)),ROW(RawData!$D$2:$D$50000)-ROW(RawData!$D$2)+1),RawData!$J$2:$J$50000)),"")</f>
        <v/>
      </c>
    </row>
    <row r="125" spans="5:8" x14ac:dyDescent="0.2">
      <c r="E125" s="28"/>
      <c r="F125" s="25" t="str">
        <f>IF(E125="","",SUMIFS(RawData!$M$2:$M$50000,RawData!$B$2:$B$50000,"="&amp;Home!$A$5,RawData!$D$2:$D$50000,"="&amp;Home!$E125))</f>
        <v/>
      </c>
      <c r="G125" s="26" t="str">
        <f>IF(E125="","",SUMIFS(RawData!$N$2:$N$50000,RawData!$B$2:$B$50000,"="&amp;Home!$A$5,RawData!$D$2:$D$50000,"="&amp;Home!$E125))</f>
        <v/>
      </c>
      <c r="H125" s="27" t="str">
        <f t="array" ref="H125">IFERROR(SUM(IF(FREQUENCY(IF(RawData!$D$2:$D$50000=Home!E125,MATCH(RawData!$H$2:$H$50000,RawData!$H$2:$H$50000,0)),ROW(RawData!$D$2:$D$50000)-ROW(RawData!$D$2)+1),RawData!$J$2:$J$50000)),"")</f>
        <v/>
      </c>
    </row>
    <row r="126" spans="5:8" x14ac:dyDescent="0.2">
      <c r="E126" s="28"/>
      <c r="F126" s="25" t="str">
        <f>IF(E126="","",SUMIFS(RawData!$M$2:$M$50000,RawData!$B$2:$B$50000,"="&amp;Home!$A$5,RawData!$D$2:$D$50000,"="&amp;Home!$E126))</f>
        <v/>
      </c>
      <c r="G126" s="26" t="str">
        <f>IF(E126="","",SUMIFS(RawData!$N$2:$N$50000,RawData!$B$2:$B$50000,"="&amp;Home!$A$5,RawData!$D$2:$D$50000,"="&amp;Home!$E126))</f>
        <v/>
      </c>
      <c r="H126" s="27" t="str">
        <f t="array" ref="H126">IFERROR(SUM(IF(FREQUENCY(IF(RawData!$D$2:$D$50000=Home!E126,MATCH(RawData!$H$2:$H$50000,RawData!$H$2:$H$50000,0)),ROW(RawData!$D$2:$D$50000)-ROW(RawData!$D$2)+1),RawData!$J$2:$J$50000)),"")</f>
        <v/>
      </c>
    </row>
    <row r="127" spans="5:8" x14ac:dyDescent="0.2">
      <c r="E127" s="28"/>
      <c r="F127" s="25" t="str">
        <f>IF(E127="","",SUMIFS(RawData!$M$2:$M$50000,RawData!$B$2:$B$50000,"="&amp;Home!$A$5,RawData!$D$2:$D$50000,"="&amp;Home!$E127))</f>
        <v/>
      </c>
      <c r="G127" s="26" t="str">
        <f>IF(E127="","",SUMIFS(RawData!$N$2:$N$50000,RawData!$B$2:$B$50000,"="&amp;Home!$A$5,RawData!$D$2:$D$50000,"="&amp;Home!$E127))</f>
        <v/>
      </c>
      <c r="H127" s="27" t="str">
        <f t="array" ref="H127">IFERROR(SUM(IF(FREQUENCY(IF(RawData!$D$2:$D$50000=Home!E127,MATCH(RawData!$H$2:$H$50000,RawData!$H$2:$H$50000,0)),ROW(RawData!$D$2:$D$50000)-ROW(RawData!$D$2)+1),RawData!$J$2:$J$50000)),"")</f>
        <v/>
      </c>
    </row>
    <row r="128" spans="5:8" x14ac:dyDescent="0.2">
      <c r="E128" s="28"/>
      <c r="F128" s="25" t="str">
        <f>IF(E128="","",SUMIFS(RawData!$M$2:$M$50000,RawData!$B$2:$B$50000,"="&amp;Home!$A$5,RawData!$D$2:$D$50000,"="&amp;Home!$E128))</f>
        <v/>
      </c>
      <c r="G128" s="26" t="str">
        <f>IF(E128="","",SUMIFS(RawData!$N$2:$N$50000,RawData!$B$2:$B$50000,"="&amp;Home!$A$5,RawData!$D$2:$D$50000,"="&amp;Home!$E128))</f>
        <v/>
      </c>
      <c r="H128" s="27" t="str">
        <f t="array" ref="H128">IFERROR(SUM(IF(FREQUENCY(IF(RawData!$D$2:$D$50000=Home!E128,MATCH(RawData!$H$2:$H$50000,RawData!$H$2:$H$50000,0)),ROW(RawData!$D$2:$D$50000)-ROW(RawData!$D$2)+1),RawData!$J$2:$J$50000)),"")</f>
        <v/>
      </c>
    </row>
    <row r="129" spans="5:8" x14ac:dyDescent="0.2">
      <c r="E129" s="28"/>
      <c r="F129" s="25" t="str">
        <f>IF(E129="","",SUMIFS(RawData!$M$2:$M$50000,RawData!$B$2:$B$50000,"="&amp;Home!$A$5,RawData!$D$2:$D$50000,"="&amp;Home!$E129))</f>
        <v/>
      </c>
      <c r="G129" s="26" t="str">
        <f>IF(E129="","",SUMIFS(RawData!$N$2:$N$50000,RawData!$B$2:$B$50000,"="&amp;Home!$A$5,RawData!$D$2:$D$50000,"="&amp;Home!$E129))</f>
        <v/>
      </c>
      <c r="H129" s="27" t="str">
        <f t="array" ref="H129">IFERROR(SUM(IF(FREQUENCY(IF(RawData!$D$2:$D$50000=Home!E129,MATCH(RawData!$H$2:$H$50000,RawData!$H$2:$H$50000,0)),ROW(RawData!$D$2:$D$50000)-ROW(RawData!$D$2)+1),RawData!$J$2:$J$50000)),"")</f>
        <v/>
      </c>
    </row>
    <row r="130" spans="5:8" x14ac:dyDescent="0.2">
      <c r="E130" s="28"/>
      <c r="F130" s="25" t="str">
        <f>IF(E130="","",SUMIFS(RawData!$M$2:$M$50000,RawData!$B$2:$B$50000,"="&amp;Home!$A$5,RawData!$D$2:$D$50000,"="&amp;Home!$E130))</f>
        <v/>
      </c>
      <c r="G130" s="26" t="str">
        <f>IF(E130="","",SUMIFS(RawData!$N$2:$N$50000,RawData!$B$2:$B$50000,"="&amp;Home!$A$5,RawData!$D$2:$D$50000,"="&amp;Home!$E130))</f>
        <v/>
      </c>
      <c r="H130" s="27" t="str">
        <f t="array" ref="H130">IFERROR(SUM(IF(FREQUENCY(IF(RawData!$D$2:$D$50000=Home!E130,MATCH(RawData!$H$2:$H$50000,RawData!$H$2:$H$50000,0)),ROW(RawData!$D$2:$D$50000)-ROW(RawData!$D$2)+1),RawData!$J$2:$J$50000)),"")</f>
        <v/>
      </c>
    </row>
    <row r="131" spans="5:8" x14ac:dyDescent="0.2">
      <c r="E131" s="28"/>
      <c r="F131" s="25" t="str">
        <f>IF(E131="","",SUMIFS(RawData!$M$2:$M$50000,RawData!$B$2:$B$50000,"="&amp;Home!$A$5,RawData!$D$2:$D$50000,"="&amp;Home!$E131))</f>
        <v/>
      </c>
      <c r="G131" s="26" t="str">
        <f>IF(E131="","",SUMIFS(RawData!$N$2:$N$50000,RawData!$B$2:$B$50000,"="&amp;Home!$A$5,RawData!$D$2:$D$50000,"="&amp;Home!$E131))</f>
        <v/>
      </c>
      <c r="H131" s="27" t="str">
        <f t="array" ref="H131">IFERROR(SUM(IF(FREQUENCY(IF(RawData!$D$2:$D$50000=Home!E131,MATCH(RawData!$H$2:$H$50000,RawData!$H$2:$H$50000,0)),ROW(RawData!$D$2:$D$50000)-ROW(RawData!$D$2)+1),RawData!$J$2:$J$50000)),"")</f>
        <v/>
      </c>
    </row>
    <row r="132" spans="5:8" x14ac:dyDescent="0.2">
      <c r="E132" s="28"/>
      <c r="F132" s="25" t="str">
        <f>IF(E132="","",SUMIFS(RawData!$M$2:$M$50000,RawData!$B$2:$B$50000,"="&amp;Home!$A$5,RawData!$D$2:$D$50000,"="&amp;Home!$E132))</f>
        <v/>
      </c>
      <c r="G132" s="26" t="str">
        <f>IF(E132="","",SUMIFS(RawData!$N$2:$N$50000,RawData!$B$2:$B$50000,"="&amp;Home!$A$5,RawData!$D$2:$D$50000,"="&amp;Home!$E132))</f>
        <v/>
      </c>
      <c r="H132" s="27" t="str">
        <f t="array" ref="H132">IFERROR(SUM(IF(FREQUENCY(IF(RawData!$D$2:$D$50000=Home!E132,MATCH(RawData!$H$2:$H$50000,RawData!$H$2:$H$50000,0)),ROW(RawData!$D$2:$D$50000)-ROW(RawData!$D$2)+1),RawData!$J$2:$J$50000)),"")</f>
        <v/>
      </c>
    </row>
    <row r="133" spans="5:8" x14ac:dyDescent="0.2">
      <c r="E133" s="28"/>
      <c r="F133" s="25" t="str">
        <f>IF(E133="","",SUMIFS(RawData!$M$2:$M$50000,RawData!$B$2:$B$50000,"="&amp;Home!$A$5,RawData!$D$2:$D$50000,"="&amp;Home!$E133))</f>
        <v/>
      </c>
      <c r="G133" s="26" t="str">
        <f>IF(E133="","",SUMIFS(RawData!$N$2:$N$50000,RawData!$B$2:$B$50000,"="&amp;Home!$A$5,RawData!$D$2:$D$50000,"="&amp;Home!$E133))</f>
        <v/>
      </c>
      <c r="H133" s="27" t="str">
        <f t="array" ref="H133">IFERROR(SUM(IF(FREQUENCY(IF(RawData!$D$2:$D$50000=Home!E133,MATCH(RawData!$H$2:$H$50000,RawData!$H$2:$H$50000,0)),ROW(RawData!$D$2:$D$50000)-ROW(RawData!$D$2)+1),RawData!$J$2:$J$50000)),"")</f>
        <v/>
      </c>
    </row>
    <row r="134" spans="5:8" x14ac:dyDescent="0.2">
      <c r="E134" s="28"/>
      <c r="F134" s="25" t="str">
        <f>IF(E134="","",SUMIFS(RawData!$M$2:$M$50000,RawData!$B$2:$B$50000,"="&amp;Home!$A$5,RawData!$D$2:$D$50000,"="&amp;Home!$E134))</f>
        <v/>
      </c>
      <c r="G134" s="26" t="str">
        <f>IF(E134="","",SUMIFS(RawData!$N$2:$N$50000,RawData!$B$2:$B$50000,"="&amp;Home!$A$5,RawData!$D$2:$D$50000,"="&amp;Home!$E134))</f>
        <v/>
      </c>
      <c r="H134" s="27" t="str">
        <f t="array" ref="H134">IFERROR(SUM(IF(FREQUENCY(IF(RawData!$D$2:$D$50000=Home!E134,MATCH(RawData!$H$2:$H$50000,RawData!$H$2:$H$50000,0)),ROW(RawData!$D$2:$D$50000)-ROW(RawData!$D$2)+1),RawData!$J$2:$J$50000)),"")</f>
        <v/>
      </c>
    </row>
    <row r="135" spans="5:8" x14ac:dyDescent="0.2">
      <c r="E135" s="28"/>
      <c r="F135" s="25" t="str">
        <f>IF(E135="","",SUMIFS(RawData!$M$2:$M$50000,RawData!$B$2:$B$50000,"="&amp;Home!$A$5,RawData!$D$2:$D$50000,"="&amp;Home!$E135))</f>
        <v/>
      </c>
      <c r="G135" s="26" t="str">
        <f>IF(E135="","",SUMIFS(RawData!$N$2:$N$50000,RawData!$B$2:$B$50000,"="&amp;Home!$A$5,RawData!$D$2:$D$50000,"="&amp;Home!$E135))</f>
        <v/>
      </c>
      <c r="H135" s="27" t="str">
        <f t="array" ref="H135">IFERROR(SUM(IF(FREQUENCY(IF(RawData!$D$2:$D$50000=Home!E135,MATCH(RawData!$H$2:$H$50000,RawData!$H$2:$H$50000,0)),ROW(RawData!$D$2:$D$50000)-ROW(RawData!$D$2)+1),RawData!$J$2:$J$50000)),"")</f>
        <v/>
      </c>
    </row>
    <row r="136" spans="5:8" x14ac:dyDescent="0.2">
      <c r="E136" s="28"/>
      <c r="F136" s="25" t="str">
        <f>IF(E136="","",SUMIFS(RawData!$M$2:$M$50000,RawData!$B$2:$B$50000,"="&amp;Home!$A$5,RawData!$D$2:$D$50000,"="&amp;Home!$E136))</f>
        <v/>
      </c>
      <c r="G136" s="26" t="str">
        <f>IF(E136="","",SUMIFS(RawData!$N$2:$N$50000,RawData!$B$2:$B$50000,"="&amp;Home!$A$5,RawData!$D$2:$D$50000,"="&amp;Home!$E136))</f>
        <v/>
      </c>
      <c r="H136" s="27" t="str">
        <f t="array" ref="H136">IFERROR(SUM(IF(FREQUENCY(IF(RawData!$D$2:$D$50000=Home!E136,MATCH(RawData!$H$2:$H$50000,RawData!$H$2:$H$50000,0)),ROW(RawData!$D$2:$D$50000)-ROW(RawData!$D$2)+1),RawData!$J$2:$J$50000)),"")</f>
        <v/>
      </c>
    </row>
    <row r="137" spans="5:8" x14ac:dyDescent="0.2">
      <c r="E137" s="28"/>
      <c r="F137" s="25" t="str">
        <f>IF(E137="","",SUMIFS(RawData!$M$2:$M$50000,RawData!$B$2:$B$50000,"="&amp;Home!$A$5,RawData!$D$2:$D$50000,"="&amp;Home!$E137))</f>
        <v/>
      </c>
      <c r="G137" s="26" t="str">
        <f>IF(E137="","",SUMIFS(RawData!$N$2:$N$50000,RawData!$B$2:$B$50000,"="&amp;Home!$A$5,RawData!$D$2:$D$50000,"="&amp;Home!$E137))</f>
        <v/>
      </c>
      <c r="H137" s="27" t="str">
        <f t="array" ref="H137">IFERROR(SUM(IF(FREQUENCY(IF(RawData!$D$2:$D$50000=Home!E137,MATCH(RawData!$H$2:$H$50000,RawData!$H$2:$H$50000,0)),ROW(RawData!$D$2:$D$50000)-ROW(RawData!$D$2)+1),RawData!$J$2:$J$50000)),"")</f>
        <v/>
      </c>
    </row>
    <row r="138" spans="5:8" x14ac:dyDescent="0.2">
      <c r="E138" s="28"/>
      <c r="F138" s="25" t="str">
        <f>IF(E138="","",SUMIFS(RawData!$M$2:$M$50000,RawData!$B$2:$B$50000,"="&amp;Home!$A$5,RawData!$D$2:$D$50000,"="&amp;Home!$E138))</f>
        <v/>
      </c>
      <c r="G138" s="26" t="str">
        <f>IF(E138="","",SUMIFS(RawData!$N$2:$N$50000,RawData!$B$2:$B$50000,"="&amp;Home!$A$5,RawData!$D$2:$D$50000,"="&amp;Home!$E138))</f>
        <v/>
      </c>
      <c r="H138" s="27" t="str">
        <f t="array" ref="H138">IFERROR(SUM(IF(FREQUENCY(IF(RawData!$D$2:$D$50000=Home!E138,MATCH(RawData!$H$2:$H$50000,RawData!$H$2:$H$50000,0)),ROW(RawData!$D$2:$D$50000)-ROW(RawData!$D$2)+1),RawData!$J$2:$J$50000)),"")</f>
        <v/>
      </c>
    </row>
    <row r="139" spans="5:8" x14ac:dyDescent="0.2">
      <c r="E139" s="28"/>
      <c r="F139" s="25" t="str">
        <f>IF(E139="","",SUMIFS(RawData!$M$2:$M$50000,RawData!$B$2:$B$50000,"="&amp;Home!$A$5,RawData!$D$2:$D$50000,"="&amp;Home!$E139))</f>
        <v/>
      </c>
      <c r="G139" s="26" t="str">
        <f>IF(E139="","",SUMIFS(RawData!$N$2:$N$50000,RawData!$B$2:$B$50000,"="&amp;Home!$A$5,RawData!$D$2:$D$50000,"="&amp;Home!$E139))</f>
        <v/>
      </c>
      <c r="H139" s="27" t="str">
        <f t="array" ref="H139">IFERROR(SUM(IF(FREQUENCY(IF(RawData!$D$2:$D$50000=Home!E139,MATCH(RawData!$H$2:$H$50000,RawData!$H$2:$H$50000,0)),ROW(RawData!$D$2:$D$50000)-ROW(RawData!$D$2)+1),RawData!$J$2:$J$50000)),"")</f>
        <v/>
      </c>
    </row>
    <row r="140" spans="5:8" x14ac:dyDescent="0.2">
      <c r="E140" s="28"/>
      <c r="F140" s="25" t="str">
        <f>IF(E140="","",SUMIFS(RawData!$M$2:$M$50000,RawData!$B$2:$B$50000,"="&amp;Home!$A$5,RawData!$D$2:$D$50000,"="&amp;Home!$E140))</f>
        <v/>
      </c>
      <c r="G140" s="26" t="str">
        <f>IF(E140="","",SUMIFS(RawData!$N$2:$N$50000,RawData!$B$2:$B$50000,"="&amp;Home!$A$5,RawData!$D$2:$D$50000,"="&amp;Home!$E140))</f>
        <v/>
      </c>
      <c r="H140" s="27" t="str">
        <f t="array" ref="H140">IFERROR(SUM(IF(FREQUENCY(IF(RawData!$D$2:$D$50000=Home!E140,MATCH(RawData!$H$2:$H$50000,RawData!$H$2:$H$50000,0)),ROW(RawData!$D$2:$D$50000)-ROW(RawData!$D$2)+1),RawData!$J$2:$J$50000)),"")</f>
        <v/>
      </c>
    </row>
    <row r="141" spans="5:8" x14ac:dyDescent="0.2">
      <c r="E141" s="28"/>
      <c r="F141" s="25" t="str">
        <f>IF(E141="","",SUMIFS(RawData!$M$2:$M$50000,RawData!$B$2:$B$50000,"="&amp;Home!$A$5,RawData!$D$2:$D$50000,"="&amp;Home!$E141))</f>
        <v/>
      </c>
      <c r="G141" s="26" t="str">
        <f>IF(E141="","",SUMIFS(RawData!$N$2:$N$50000,RawData!$B$2:$B$50000,"="&amp;Home!$A$5,RawData!$D$2:$D$50000,"="&amp;Home!$E141))</f>
        <v/>
      </c>
      <c r="H141" s="27" t="str">
        <f t="array" ref="H141">IFERROR(SUM(IF(FREQUENCY(IF(RawData!$D$2:$D$50000=Home!E141,MATCH(RawData!$H$2:$H$50000,RawData!$H$2:$H$50000,0)),ROW(RawData!$D$2:$D$50000)-ROW(RawData!$D$2)+1),RawData!$J$2:$J$50000)),"")</f>
        <v/>
      </c>
    </row>
    <row r="142" spans="5:8" x14ac:dyDescent="0.2">
      <c r="E142" s="28"/>
      <c r="F142" s="25" t="str">
        <f>IF(E142="","",SUMIFS(RawData!$M$2:$M$50000,RawData!$B$2:$B$50000,"="&amp;Home!$A$5,RawData!$D$2:$D$50000,"="&amp;Home!$E142))</f>
        <v/>
      </c>
      <c r="G142" s="26" t="str">
        <f>IF(E142="","",SUMIFS(RawData!$N$2:$N$50000,RawData!$B$2:$B$50000,"="&amp;Home!$A$5,RawData!$D$2:$D$50000,"="&amp;Home!$E142))</f>
        <v/>
      </c>
      <c r="H142" s="27" t="str">
        <f t="array" ref="H142">IFERROR(SUM(IF(FREQUENCY(IF(RawData!$D$2:$D$50000=Home!E142,MATCH(RawData!$H$2:$H$50000,RawData!$H$2:$H$50000,0)),ROW(RawData!$D$2:$D$50000)-ROW(RawData!$D$2)+1),RawData!$J$2:$J$50000)),"")</f>
        <v/>
      </c>
    </row>
    <row r="143" spans="5:8" x14ac:dyDescent="0.2">
      <c r="E143" s="28"/>
      <c r="F143" s="25" t="str">
        <f>IF(E143="","",SUMIFS(RawData!$M$2:$M$50000,RawData!$B$2:$B$50000,"="&amp;Home!$A$5,RawData!$D$2:$D$50000,"="&amp;Home!$E143))</f>
        <v/>
      </c>
      <c r="G143" s="26" t="str">
        <f>IF(E143="","",SUMIFS(RawData!$N$2:$N$50000,RawData!$B$2:$B$50000,"="&amp;Home!$A$5,RawData!$D$2:$D$50000,"="&amp;Home!$E143))</f>
        <v/>
      </c>
      <c r="H143" s="27" t="str">
        <f t="array" ref="H143">IFERROR(SUM(IF(FREQUENCY(IF(RawData!$D$2:$D$50000=Home!E143,MATCH(RawData!$H$2:$H$50000,RawData!$H$2:$H$50000,0)),ROW(RawData!$D$2:$D$50000)-ROW(RawData!$D$2)+1),RawData!$J$2:$J$50000)),"")</f>
        <v/>
      </c>
    </row>
    <row r="144" spans="5:8" x14ac:dyDescent="0.2">
      <c r="E144" s="28"/>
      <c r="F144" s="25" t="str">
        <f>IF(E144="","",SUMIFS(RawData!$M$2:$M$50000,RawData!$B$2:$B$50000,"="&amp;Home!$A$5,RawData!$D$2:$D$50000,"="&amp;Home!$E144))</f>
        <v/>
      </c>
      <c r="G144" s="26" t="str">
        <f>IF(E144="","",SUMIFS(RawData!$N$2:$N$50000,RawData!$B$2:$B$50000,"="&amp;Home!$A$5,RawData!$D$2:$D$50000,"="&amp;Home!$E144))</f>
        <v/>
      </c>
      <c r="H144" s="27" t="str">
        <f t="array" ref="H144">IFERROR(SUM(IF(FREQUENCY(IF(RawData!$D$2:$D$50000=Home!E144,MATCH(RawData!$H$2:$H$50000,RawData!$H$2:$H$50000,0)),ROW(RawData!$D$2:$D$50000)-ROW(RawData!$D$2)+1),RawData!$J$2:$J$50000)),"")</f>
        <v/>
      </c>
    </row>
    <row r="145" spans="5:8" x14ac:dyDescent="0.2">
      <c r="E145" s="28"/>
      <c r="F145" s="25" t="str">
        <f>IF(E145="","",SUMIFS(RawData!$M$2:$M$50000,RawData!$B$2:$B$50000,"="&amp;Home!$A$5,RawData!$D$2:$D$50000,"="&amp;Home!$E145))</f>
        <v/>
      </c>
      <c r="G145" s="26" t="str">
        <f>IF(E145="","",SUMIFS(RawData!$N$2:$N$50000,RawData!$B$2:$B$50000,"="&amp;Home!$A$5,RawData!$D$2:$D$50000,"="&amp;Home!$E145))</f>
        <v/>
      </c>
      <c r="H145" s="27" t="str">
        <f t="array" ref="H145">IFERROR(SUM(IF(FREQUENCY(IF(RawData!$D$2:$D$50000=Home!E145,MATCH(RawData!$H$2:$H$50000,RawData!$H$2:$H$50000,0)),ROW(RawData!$D$2:$D$50000)-ROW(RawData!$D$2)+1),RawData!$J$2:$J$50000)),"")</f>
        <v/>
      </c>
    </row>
    <row r="146" spans="5:8" x14ac:dyDescent="0.2">
      <c r="E146" s="28"/>
      <c r="F146" s="25" t="str">
        <f>IF(E146="","",SUMIFS(RawData!$M$2:$M$50000,RawData!$B$2:$B$50000,"="&amp;Home!$A$5,RawData!$D$2:$D$50000,"="&amp;Home!$E146))</f>
        <v/>
      </c>
      <c r="G146" s="26" t="str">
        <f>IF(E146="","",SUMIFS(RawData!$N$2:$N$50000,RawData!$B$2:$B$50000,"="&amp;Home!$A$5,RawData!$D$2:$D$50000,"="&amp;Home!$E146))</f>
        <v/>
      </c>
      <c r="H146" s="27" t="str">
        <f t="array" ref="H146">IFERROR(SUM(IF(FREQUENCY(IF(RawData!$D$2:$D$50000=Home!E146,MATCH(RawData!$H$2:$H$50000,RawData!$H$2:$H$50000,0)),ROW(RawData!$D$2:$D$50000)-ROW(RawData!$D$2)+1),RawData!$J$2:$J$50000)),"")</f>
        <v/>
      </c>
    </row>
    <row r="147" spans="5:8" x14ac:dyDescent="0.2">
      <c r="E147" s="28"/>
      <c r="F147" s="25" t="str">
        <f>IF(E147="","",SUMIFS(RawData!$M$2:$M$50000,RawData!$B$2:$B$50000,"="&amp;Home!$A$5,RawData!$D$2:$D$50000,"="&amp;Home!$E147))</f>
        <v/>
      </c>
      <c r="G147" s="26" t="str">
        <f>IF(E147="","",SUMIFS(RawData!$N$2:$N$50000,RawData!$B$2:$B$50000,"="&amp;Home!$A$5,RawData!$D$2:$D$50000,"="&amp;Home!$E147))</f>
        <v/>
      </c>
      <c r="H147" s="27" t="str">
        <f t="array" ref="H147">IFERROR(SUM(IF(FREQUENCY(IF(RawData!$D$2:$D$50000=Home!E147,MATCH(RawData!$H$2:$H$50000,RawData!$H$2:$H$50000,0)),ROW(RawData!$D$2:$D$50000)-ROW(RawData!$D$2)+1),RawData!$J$2:$J$50000)),"")</f>
        <v/>
      </c>
    </row>
    <row r="148" spans="5:8" x14ac:dyDescent="0.2">
      <c r="E148" s="28"/>
      <c r="F148" s="25" t="str">
        <f>IF(E148="","",SUMIFS(RawData!$M$2:$M$50000,RawData!$B$2:$B$50000,"="&amp;Home!$A$5,RawData!$D$2:$D$50000,"="&amp;Home!$E148))</f>
        <v/>
      </c>
      <c r="G148" s="26" t="str">
        <f>IF(E148="","",SUMIFS(RawData!$N$2:$N$50000,RawData!$B$2:$B$50000,"="&amp;Home!$A$5,RawData!$D$2:$D$50000,"="&amp;Home!$E148))</f>
        <v/>
      </c>
      <c r="H148" s="27" t="str">
        <f t="array" ref="H148">IFERROR(SUM(IF(FREQUENCY(IF(RawData!$D$2:$D$50000=Home!E148,MATCH(RawData!$H$2:$H$50000,RawData!$H$2:$H$50000,0)),ROW(RawData!$D$2:$D$50000)-ROW(RawData!$D$2)+1),RawData!$J$2:$J$50000)),"")</f>
        <v/>
      </c>
    </row>
    <row r="149" spans="5:8" x14ac:dyDescent="0.2">
      <c r="E149" s="28"/>
      <c r="F149" s="25" t="str">
        <f>IF(E149="","",SUMIFS(RawData!$M$2:$M$50000,RawData!$B$2:$B$50000,"="&amp;Home!$A$5,RawData!$D$2:$D$50000,"="&amp;Home!$E149))</f>
        <v/>
      </c>
      <c r="G149" s="26" t="str">
        <f>IF(E149="","",SUMIFS(RawData!$N$2:$N$50000,RawData!$B$2:$B$50000,"="&amp;Home!$A$5,RawData!$D$2:$D$50000,"="&amp;Home!$E149))</f>
        <v/>
      </c>
      <c r="H149" s="27" t="str">
        <f t="array" ref="H149">IFERROR(SUM(IF(FREQUENCY(IF(RawData!$D$2:$D$50000=Home!E149,MATCH(RawData!$H$2:$H$50000,RawData!$H$2:$H$50000,0)),ROW(RawData!$D$2:$D$50000)-ROW(RawData!$D$2)+1),RawData!$J$2:$J$50000)),"")</f>
        <v/>
      </c>
    </row>
    <row r="150" spans="5:8" x14ac:dyDescent="0.2">
      <c r="E150" s="28"/>
      <c r="F150" s="25" t="str">
        <f>IF(E150="","",SUMIFS(RawData!$M$2:$M$50000,RawData!$B$2:$B$50000,"="&amp;Home!$A$5,RawData!$D$2:$D$50000,"="&amp;Home!$E150))</f>
        <v/>
      </c>
      <c r="G150" s="26" t="str">
        <f>IF(E150="","",SUMIFS(RawData!$N$2:$N$50000,RawData!$B$2:$B$50000,"="&amp;Home!$A$5,RawData!$D$2:$D$50000,"="&amp;Home!$E150))</f>
        <v/>
      </c>
      <c r="H150" s="27" t="str">
        <f t="array" ref="H150">IFERROR(SUM(IF(FREQUENCY(IF(RawData!$D$2:$D$50000=Home!E150,MATCH(RawData!$H$2:$H$50000,RawData!$H$2:$H$50000,0)),ROW(RawData!$D$2:$D$50000)-ROW(RawData!$D$2)+1),RawData!$J$2:$J$50000)),"")</f>
        <v/>
      </c>
    </row>
    <row r="151" spans="5:8" x14ac:dyDescent="0.2">
      <c r="E151" s="28"/>
      <c r="F151" s="25" t="str">
        <f>IF(E151="","",SUMIFS(RawData!$M$2:$M$50000,RawData!$B$2:$B$50000,"="&amp;Home!$A$5,RawData!$D$2:$D$50000,"="&amp;Home!$E151))</f>
        <v/>
      </c>
      <c r="G151" s="26" t="str">
        <f>IF(E151="","",SUMIFS(RawData!$N$2:$N$50000,RawData!$B$2:$B$50000,"="&amp;Home!$A$5,RawData!$D$2:$D$50000,"="&amp;Home!$E151))</f>
        <v/>
      </c>
      <c r="H151" s="27" t="str">
        <f t="array" ref="H151">IFERROR(SUM(IF(FREQUENCY(IF(RawData!$D$2:$D$50000=Home!E151,MATCH(RawData!$H$2:$H$50000,RawData!$H$2:$H$50000,0)),ROW(RawData!$D$2:$D$50000)-ROW(RawData!$D$2)+1),RawData!$J$2:$J$50000)),"")</f>
        <v/>
      </c>
    </row>
    <row r="152" spans="5:8" x14ac:dyDescent="0.2">
      <c r="E152" s="28"/>
      <c r="F152" s="25" t="str">
        <f>IF(E152="","",SUMIFS(RawData!$M$2:$M$50000,RawData!$B$2:$B$50000,"="&amp;Home!$A$5,RawData!$D$2:$D$50000,"="&amp;Home!$E152))</f>
        <v/>
      </c>
      <c r="G152" s="26" t="str">
        <f>IF(E152="","",SUMIFS(RawData!$N$2:$N$50000,RawData!$B$2:$B$50000,"="&amp;Home!$A$5,RawData!$D$2:$D$50000,"="&amp;Home!$E152))</f>
        <v/>
      </c>
      <c r="H152" s="27" t="str">
        <f t="array" ref="H152">IFERROR(SUM(IF(FREQUENCY(IF(RawData!$D$2:$D$50000=Home!E152,MATCH(RawData!$H$2:$H$50000,RawData!$H$2:$H$50000,0)),ROW(RawData!$D$2:$D$50000)-ROW(RawData!$D$2)+1),RawData!$J$2:$J$50000)),"")</f>
        <v/>
      </c>
    </row>
    <row r="153" spans="5:8" x14ac:dyDescent="0.2">
      <c r="E153" s="28"/>
      <c r="F153" s="25" t="str">
        <f>IF(E153="","",SUMIFS(RawData!$M$2:$M$50000,RawData!$B$2:$B$50000,"="&amp;Home!$A$5,RawData!$D$2:$D$50000,"="&amp;Home!$E153))</f>
        <v/>
      </c>
      <c r="G153" s="26" t="str">
        <f>IF(E153="","",SUMIFS(RawData!$N$2:$N$50000,RawData!$B$2:$B$50000,"="&amp;Home!$A$5,RawData!$D$2:$D$50000,"="&amp;Home!$E153))</f>
        <v/>
      </c>
      <c r="H153" s="27" t="str">
        <f t="array" ref="H153">IFERROR(SUM(IF(FREQUENCY(IF(RawData!$D$2:$D$50000=Home!E153,MATCH(RawData!$H$2:$H$50000,RawData!$H$2:$H$50000,0)),ROW(RawData!$D$2:$D$50000)-ROW(RawData!$D$2)+1),RawData!$J$2:$J$50000)),"")</f>
        <v/>
      </c>
    </row>
    <row r="154" spans="5:8" x14ac:dyDescent="0.2">
      <c r="E154" s="28"/>
      <c r="F154" s="25" t="str">
        <f>IF(E154="","",SUMIFS(RawData!$M$2:$M$50000,RawData!$B$2:$B$50000,"="&amp;Home!$A$5,RawData!$D$2:$D$50000,"="&amp;Home!$E154))</f>
        <v/>
      </c>
      <c r="G154" s="26" t="str">
        <f>IF(E154="","",SUMIFS(RawData!$N$2:$N$50000,RawData!$B$2:$B$50000,"="&amp;Home!$A$5,RawData!$D$2:$D$50000,"="&amp;Home!$E154))</f>
        <v/>
      </c>
      <c r="H154" s="27" t="str">
        <f t="array" ref="H154">IFERROR(SUM(IF(FREQUENCY(IF(RawData!$D$2:$D$50000=Home!E154,MATCH(RawData!$H$2:$H$50000,RawData!$H$2:$H$50000,0)),ROW(RawData!$D$2:$D$50000)-ROW(RawData!$D$2)+1),RawData!$J$2:$J$50000)),"")</f>
        <v/>
      </c>
    </row>
    <row r="155" spans="5:8" x14ac:dyDescent="0.2">
      <c r="E155" s="28"/>
      <c r="F155" s="25" t="str">
        <f>IF(E155="","",SUMIFS(RawData!$M$2:$M$50000,RawData!$B$2:$B$50000,"="&amp;Home!$A$5,RawData!$D$2:$D$50000,"="&amp;Home!$E155))</f>
        <v/>
      </c>
      <c r="G155" s="26" t="str">
        <f>IF(E155="","",SUMIFS(RawData!$N$2:$N$50000,RawData!$B$2:$B$50000,"="&amp;Home!$A$5,RawData!$D$2:$D$50000,"="&amp;Home!$E155))</f>
        <v/>
      </c>
      <c r="H155" s="27" t="str">
        <f t="array" ref="H155">IFERROR(SUM(IF(FREQUENCY(IF(RawData!$D$2:$D$50000=Home!E155,MATCH(RawData!$H$2:$H$50000,RawData!$H$2:$H$50000,0)),ROW(RawData!$D$2:$D$50000)-ROW(RawData!$D$2)+1),RawData!$J$2:$J$50000)),"")</f>
        <v/>
      </c>
    </row>
    <row r="156" spans="5:8" x14ac:dyDescent="0.2">
      <c r="E156" s="28"/>
      <c r="F156" s="25" t="str">
        <f>IF(E156="","",SUMIFS(RawData!$M$2:$M$50000,RawData!$B$2:$B$50000,"="&amp;Home!$A$5,RawData!$D$2:$D$50000,"="&amp;Home!$E156))</f>
        <v/>
      </c>
      <c r="G156" s="26" t="str">
        <f>IF(E156="","",SUMIFS(RawData!$N$2:$N$50000,RawData!$B$2:$B$50000,"="&amp;Home!$A$5,RawData!$D$2:$D$50000,"="&amp;Home!$E156))</f>
        <v/>
      </c>
      <c r="H156" s="27" t="str">
        <f t="array" ref="H156">IFERROR(SUM(IF(FREQUENCY(IF(RawData!$D$2:$D$50000=Home!E156,MATCH(RawData!$H$2:$H$50000,RawData!$H$2:$H$50000,0)),ROW(RawData!$D$2:$D$50000)-ROW(RawData!$D$2)+1),RawData!$J$2:$J$50000)),"")</f>
        <v/>
      </c>
    </row>
    <row r="157" spans="5:8" x14ac:dyDescent="0.2">
      <c r="E157" s="28"/>
      <c r="F157" s="25" t="str">
        <f>IF(E157="","",SUMIFS(RawData!$M$2:$M$50000,RawData!$B$2:$B$50000,"="&amp;Home!$A$5,RawData!$D$2:$D$50000,"="&amp;Home!$E157))</f>
        <v/>
      </c>
      <c r="G157" s="26" t="str">
        <f>IF(E157="","",SUMIFS(RawData!$N$2:$N$50000,RawData!$B$2:$B$50000,"="&amp;Home!$A$5,RawData!$D$2:$D$50000,"="&amp;Home!$E157))</f>
        <v/>
      </c>
      <c r="H157" s="27" t="str">
        <f t="array" ref="H157">IFERROR(SUM(IF(FREQUENCY(IF(RawData!$D$2:$D$50000=Home!E157,MATCH(RawData!$H$2:$H$50000,RawData!$H$2:$H$50000,0)),ROW(RawData!$D$2:$D$50000)-ROW(RawData!$D$2)+1),RawData!$J$2:$J$50000)),"")</f>
        <v/>
      </c>
    </row>
    <row r="158" spans="5:8" x14ac:dyDescent="0.2">
      <c r="E158" s="28"/>
      <c r="F158" s="25" t="str">
        <f>IF(E158="","",SUMIFS(RawData!$M$2:$M$50000,RawData!$B$2:$B$50000,"="&amp;Home!$A$5,RawData!$D$2:$D$50000,"="&amp;Home!$E158))</f>
        <v/>
      </c>
      <c r="G158" s="26" t="str">
        <f>IF(E158="","",SUMIFS(RawData!$N$2:$N$50000,RawData!$B$2:$B$50000,"="&amp;Home!$A$5,RawData!$D$2:$D$50000,"="&amp;Home!$E158))</f>
        <v/>
      </c>
      <c r="H158" s="27" t="str">
        <f t="array" ref="H158">IFERROR(SUM(IF(FREQUENCY(IF(RawData!$D$2:$D$50000=Home!E158,MATCH(RawData!$H$2:$H$50000,RawData!$H$2:$H$50000,0)),ROW(RawData!$D$2:$D$50000)-ROW(RawData!$D$2)+1),RawData!$J$2:$J$50000)),"")</f>
        <v/>
      </c>
    </row>
    <row r="159" spans="5:8" x14ac:dyDescent="0.2">
      <c r="E159" s="28"/>
      <c r="F159" s="25" t="str">
        <f>IF(E159="","",SUMIFS(RawData!$M$2:$M$50000,RawData!$B$2:$B$50000,"="&amp;Home!$A$5,RawData!$D$2:$D$50000,"="&amp;Home!$E159))</f>
        <v/>
      </c>
      <c r="G159" s="26" t="str">
        <f>IF(E159="","",SUMIFS(RawData!$N$2:$N$50000,RawData!$B$2:$B$50000,"="&amp;Home!$A$5,RawData!$D$2:$D$50000,"="&amp;Home!$E159))</f>
        <v/>
      </c>
      <c r="H159" s="27" t="str">
        <f t="array" ref="H159">IFERROR(SUM(IF(FREQUENCY(IF(RawData!$D$2:$D$50000=Home!E159,MATCH(RawData!$H$2:$H$50000,RawData!$H$2:$H$50000,0)),ROW(RawData!$D$2:$D$50000)-ROW(RawData!$D$2)+1),RawData!$J$2:$J$50000)),"")</f>
        <v/>
      </c>
    </row>
    <row r="160" spans="5:8" x14ac:dyDescent="0.2">
      <c r="E160" s="28"/>
      <c r="F160" s="25" t="str">
        <f>IF(E160="","",SUMIFS(RawData!$M$2:$M$50000,RawData!$B$2:$B$50000,"="&amp;Home!$A$5,RawData!$D$2:$D$50000,"="&amp;Home!$E160))</f>
        <v/>
      </c>
      <c r="G160" s="26" t="str">
        <f>IF(E160="","",SUMIFS(RawData!$N$2:$N$50000,RawData!$B$2:$B$50000,"="&amp;Home!$A$5,RawData!$D$2:$D$50000,"="&amp;Home!$E160))</f>
        <v/>
      </c>
      <c r="H160" s="27" t="str">
        <f t="array" ref="H160">IFERROR(SUM(IF(FREQUENCY(IF(RawData!$D$2:$D$50000=Home!E160,MATCH(RawData!$H$2:$H$50000,RawData!$H$2:$H$50000,0)),ROW(RawData!$D$2:$D$50000)-ROW(RawData!$D$2)+1),RawData!$J$2:$J$50000)),"")</f>
        <v/>
      </c>
    </row>
    <row r="161" spans="5:8" x14ac:dyDescent="0.2">
      <c r="E161" s="28"/>
      <c r="F161" s="25" t="str">
        <f>IF(E161="","",SUMIFS(RawData!$M$2:$M$50000,RawData!$B$2:$B$50000,"="&amp;Home!$A$5,RawData!$D$2:$D$50000,"="&amp;Home!$E161))</f>
        <v/>
      </c>
      <c r="G161" s="26" t="str">
        <f>IF(E161="","",SUMIFS(RawData!$N$2:$N$50000,RawData!$B$2:$B$50000,"="&amp;Home!$A$5,RawData!$D$2:$D$50000,"="&amp;Home!$E161))</f>
        <v/>
      </c>
      <c r="H161" s="27" t="str">
        <f t="array" ref="H161">IFERROR(SUM(IF(FREQUENCY(IF(RawData!$D$2:$D$50000=Home!E161,MATCH(RawData!$H$2:$H$50000,RawData!$H$2:$H$50000,0)),ROW(RawData!$D$2:$D$50000)-ROW(RawData!$D$2)+1),RawData!$J$2:$J$50000)),"")</f>
        <v/>
      </c>
    </row>
    <row r="162" spans="5:8" x14ac:dyDescent="0.2">
      <c r="E162" s="28"/>
      <c r="F162" s="25" t="str">
        <f>IF(E162="","",SUMIFS(RawData!$M$2:$M$50000,RawData!$B$2:$B$50000,"="&amp;Home!$A$5,RawData!$D$2:$D$50000,"="&amp;Home!$E162))</f>
        <v/>
      </c>
      <c r="G162" s="26" t="str">
        <f>IF(E162="","",SUMIFS(RawData!$N$2:$N$50000,RawData!$B$2:$B$50000,"="&amp;Home!$A$5,RawData!$D$2:$D$50000,"="&amp;Home!$E162))</f>
        <v/>
      </c>
      <c r="H162" s="27" t="str">
        <f t="array" ref="H162">IFERROR(SUM(IF(FREQUENCY(IF(RawData!$D$2:$D$50000=Home!E162,MATCH(RawData!$H$2:$H$50000,RawData!$H$2:$H$50000,0)),ROW(RawData!$D$2:$D$50000)-ROW(RawData!$D$2)+1),RawData!$J$2:$J$50000)),"")</f>
        <v/>
      </c>
    </row>
    <row r="163" spans="5:8" x14ac:dyDescent="0.2">
      <c r="E163" s="28"/>
      <c r="F163" s="25" t="str">
        <f>IF(E163="","",SUMIFS(RawData!$M$2:$M$50000,RawData!$B$2:$B$50000,"="&amp;Home!$A$5,RawData!$D$2:$D$50000,"="&amp;Home!$E163))</f>
        <v/>
      </c>
      <c r="G163" s="26" t="str">
        <f>IF(E163="","",SUMIFS(RawData!$N$2:$N$50000,RawData!$B$2:$B$50000,"="&amp;Home!$A$5,RawData!$D$2:$D$50000,"="&amp;Home!$E163))</f>
        <v/>
      </c>
      <c r="H163" s="27" t="str">
        <f t="array" ref="H163">IFERROR(SUM(IF(FREQUENCY(IF(RawData!$D$2:$D$50000=Home!E163,MATCH(RawData!$H$2:$H$50000,RawData!$H$2:$H$50000,0)),ROW(RawData!$D$2:$D$50000)-ROW(RawData!$D$2)+1),RawData!$J$2:$J$50000)),"")</f>
        <v/>
      </c>
    </row>
    <row r="164" spans="5:8" x14ac:dyDescent="0.2">
      <c r="E164" s="28"/>
      <c r="F164" s="25" t="str">
        <f>IF(E164="","",SUMIFS(RawData!$M$2:$M$50000,RawData!$B$2:$B$50000,"="&amp;Home!$A$5,RawData!$D$2:$D$50000,"="&amp;Home!$E164))</f>
        <v/>
      </c>
      <c r="G164" s="26" t="str">
        <f>IF(E164="","",SUMIFS(RawData!$N$2:$N$50000,RawData!$B$2:$B$50000,"="&amp;Home!$A$5,RawData!$D$2:$D$50000,"="&amp;Home!$E164))</f>
        <v/>
      </c>
      <c r="H164" s="27" t="str">
        <f t="array" ref="H164">IFERROR(SUM(IF(FREQUENCY(IF(RawData!$D$2:$D$50000=Home!E164,MATCH(RawData!$H$2:$H$50000,RawData!$H$2:$H$50000,0)),ROW(RawData!$D$2:$D$50000)-ROW(RawData!$D$2)+1),RawData!$J$2:$J$50000)),"")</f>
        <v/>
      </c>
    </row>
    <row r="165" spans="5:8" x14ac:dyDescent="0.2">
      <c r="E165" s="28"/>
      <c r="F165" s="25" t="str">
        <f>IF(E165="","",SUMIFS(RawData!$M$2:$M$50000,RawData!$B$2:$B$50000,"="&amp;Home!$A$5,RawData!$D$2:$D$50000,"="&amp;Home!$E165))</f>
        <v/>
      </c>
      <c r="G165" s="26" t="str">
        <f>IF(E165="","",SUMIFS(RawData!$N$2:$N$50000,RawData!$B$2:$B$50000,"="&amp;Home!$A$5,RawData!$D$2:$D$50000,"="&amp;Home!$E165))</f>
        <v/>
      </c>
      <c r="H165" s="27" t="str">
        <f t="array" ref="H165">IFERROR(SUM(IF(FREQUENCY(IF(RawData!$D$2:$D$50000=Home!E165,MATCH(RawData!$H$2:$H$50000,RawData!$H$2:$H$50000,0)),ROW(RawData!$D$2:$D$50000)-ROW(RawData!$D$2)+1),RawData!$J$2:$J$50000)),"")</f>
        <v/>
      </c>
    </row>
    <row r="166" spans="5:8" x14ac:dyDescent="0.2">
      <c r="E166" s="28"/>
      <c r="F166" s="25" t="str">
        <f>IF(E166="","",SUMIFS(RawData!$M$2:$M$50000,RawData!$B$2:$B$50000,"="&amp;Home!$A$5,RawData!$D$2:$D$50000,"="&amp;Home!$E166))</f>
        <v/>
      </c>
      <c r="G166" s="26" t="str">
        <f>IF(E166="","",SUMIFS(RawData!$N$2:$N$50000,RawData!$B$2:$B$50000,"="&amp;Home!$A$5,RawData!$D$2:$D$50000,"="&amp;Home!$E166))</f>
        <v/>
      </c>
      <c r="H166" s="27" t="str">
        <f t="array" ref="H166">IFERROR(SUM(IF(FREQUENCY(IF(RawData!$D$2:$D$50000=Home!E166,MATCH(RawData!$H$2:$H$50000,RawData!$H$2:$H$50000,0)),ROW(RawData!$D$2:$D$50000)-ROW(RawData!$D$2)+1),RawData!$J$2:$J$50000)),"")</f>
        <v/>
      </c>
    </row>
    <row r="167" spans="5:8" x14ac:dyDescent="0.2">
      <c r="E167" s="28"/>
      <c r="F167" s="25" t="str">
        <f>IF(E167="","",SUMIFS(RawData!$M$2:$M$50000,RawData!$B$2:$B$50000,"="&amp;Home!$A$5,RawData!$D$2:$D$50000,"="&amp;Home!$E167))</f>
        <v/>
      </c>
      <c r="G167" s="26" t="str">
        <f>IF(E167="","",SUMIFS(RawData!$N$2:$N$50000,RawData!$B$2:$B$50000,"="&amp;Home!$A$5,RawData!$D$2:$D$50000,"="&amp;Home!$E167))</f>
        <v/>
      </c>
      <c r="H167" s="27" t="str">
        <f t="array" ref="H167">IFERROR(SUM(IF(FREQUENCY(IF(RawData!$D$2:$D$50000=Home!E167,MATCH(RawData!$H$2:$H$50000,RawData!$H$2:$H$50000,0)),ROW(RawData!$D$2:$D$50000)-ROW(RawData!$D$2)+1),RawData!$J$2:$J$50000)),"")</f>
        <v/>
      </c>
    </row>
    <row r="168" spans="5:8" x14ac:dyDescent="0.2">
      <c r="E168" s="28"/>
      <c r="F168" s="25" t="str">
        <f>IF(E168="","",SUMIFS(RawData!$M$2:$M$50000,RawData!$B$2:$B$50000,"="&amp;Home!$A$5,RawData!$D$2:$D$50000,"="&amp;Home!$E168))</f>
        <v/>
      </c>
      <c r="G168" s="26" t="str">
        <f>IF(E168="","",SUMIFS(RawData!$N$2:$N$50000,RawData!$B$2:$B$50000,"="&amp;Home!$A$5,RawData!$D$2:$D$50000,"="&amp;Home!$E168))</f>
        <v/>
      </c>
      <c r="H168" s="27" t="str">
        <f t="array" ref="H168">IFERROR(SUM(IF(FREQUENCY(IF(RawData!$D$2:$D$50000=Home!E168,MATCH(RawData!$H$2:$H$50000,RawData!$H$2:$H$50000,0)),ROW(RawData!$D$2:$D$50000)-ROW(RawData!$D$2)+1),RawData!$J$2:$J$50000)),"")</f>
        <v/>
      </c>
    </row>
    <row r="169" spans="5:8" x14ac:dyDescent="0.2">
      <c r="E169" s="28"/>
      <c r="F169" s="25" t="str">
        <f>IF(E169="","",SUMIFS(RawData!$M$2:$M$50000,RawData!$B$2:$B$50000,"="&amp;Home!$A$5,RawData!$D$2:$D$50000,"="&amp;Home!$E169))</f>
        <v/>
      </c>
      <c r="G169" s="26" t="str">
        <f>IF(E169="","",SUMIFS(RawData!$N$2:$N$50000,RawData!$B$2:$B$50000,"="&amp;Home!$A$5,RawData!$D$2:$D$50000,"="&amp;Home!$E169))</f>
        <v/>
      </c>
      <c r="H169" s="27" t="str">
        <f t="array" ref="H169">IFERROR(SUM(IF(FREQUENCY(IF(RawData!$D$2:$D$50000=Home!E169,MATCH(RawData!$H$2:$H$50000,RawData!$H$2:$H$50000,0)),ROW(RawData!$D$2:$D$50000)-ROW(RawData!$D$2)+1),RawData!$J$2:$J$50000)),"")</f>
        <v/>
      </c>
    </row>
    <row r="170" spans="5:8" x14ac:dyDescent="0.2">
      <c r="E170" s="28"/>
      <c r="F170" s="25" t="str">
        <f>IF(E170="","",SUMIFS(RawData!$M$2:$M$50000,RawData!$B$2:$B$50000,"="&amp;Home!$A$5,RawData!$D$2:$D$50000,"="&amp;Home!$E170))</f>
        <v/>
      </c>
      <c r="G170" s="26" t="str">
        <f>IF(E170="","",SUMIFS(RawData!$N$2:$N$50000,RawData!$B$2:$B$50000,"="&amp;Home!$A$5,RawData!$D$2:$D$50000,"="&amp;Home!$E170))</f>
        <v/>
      </c>
      <c r="H170" s="27" t="str">
        <f t="array" ref="H170">IFERROR(SUM(IF(FREQUENCY(IF(RawData!$D$2:$D$50000=Home!E170,MATCH(RawData!$H$2:$H$50000,RawData!$H$2:$H$50000,0)),ROW(RawData!$D$2:$D$50000)-ROW(RawData!$D$2)+1),RawData!$J$2:$J$50000)),"")</f>
        <v/>
      </c>
    </row>
    <row r="171" spans="5:8" x14ac:dyDescent="0.2">
      <c r="E171" s="28"/>
      <c r="F171" s="25" t="str">
        <f>IF(E171="","",SUMIFS(RawData!$M$2:$M$50000,RawData!$B$2:$B$50000,"="&amp;Home!$A$5,RawData!$D$2:$D$50000,"="&amp;Home!$E171))</f>
        <v/>
      </c>
      <c r="G171" s="26" t="str">
        <f>IF(E171="","",SUMIFS(RawData!$N$2:$N$50000,RawData!$B$2:$B$50000,"="&amp;Home!$A$5,RawData!$D$2:$D$50000,"="&amp;Home!$E171))</f>
        <v/>
      </c>
      <c r="H171" s="27" t="str">
        <f t="array" ref="H171">IFERROR(SUM(IF(FREQUENCY(IF(RawData!$D$2:$D$50000=Home!E171,MATCH(RawData!$H$2:$H$50000,RawData!$H$2:$H$50000,0)),ROW(RawData!$D$2:$D$50000)-ROW(RawData!$D$2)+1),RawData!$J$2:$J$50000)),"")</f>
        <v/>
      </c>
    </row>
    <row r="172" spans="5:8" x14ac:dyDescent="0.2">
      <c r="E172" s="28"/>
      <c r="F172" s="25" t="str">
        <f>IF(E172="","",SUMIFS(RawData!$M$2:$M$50000,RawData!$B$2:$B$50000,"="&amp;Home!$A$5,RawData!$D$2:$D$50000,"="&amp;Home!$E172))</f>
        <v/>
      </c>
      <c r="G172" s="26" t="str">
        <f>IF(E172="","",SUMIFS(RawData!$N$2:$N$50000,RawData!$B$2:$B$50000,"="&amp;Home!$A$5,RawData!$D$2:$D$50000,"="&amp;Home!$E172))</f>
        <v/>
      </c>
      <c r="H172" s="27" t="str">
        <f t="array" ref="H172">IFERROR(SUM(IF(FREQUENCY(IF(RawData!$D$2:$D$50000=Home!E172,MATCH(RawData!$H$2:$H$50000,RawData!$H$2:$H$50000,0)),ROW(RawData!$D$2:$D$50000)-ROW(RawData!$D$2)+1),RawData!$J$2:$J$50000)),"")</f>
        <v/>
      </c>
    </row>
    <row r="173" spans="5:8" x14ac:dyDescent="0.2">
      <c r="E173" s="28"/>
      <c r="F173" s="25" t="str">
        <f>IF(E173="","",SUMIFS(RawData!$M$2:$M$50000,RawData!$B$2:$B$50000,"="&amp;Home!$A$5,RawData!$D$2:$D$50000,"="&amp;Home!$E173))</f>
        <v/>
      </c>
      <c r="G173" s="26" t="str">
        <f>IF(E173="","",SUMIFS(RawData!$N$2:$N$50000,RawData!$B$2:$B$50000,"="&amp;Home!$A$5,RawData!$D$2:$D$50000,"="&amp;Home!$E173))</f>
        <v/>
      </c>
      <c r="H173" s="27" t="str">
        <f t="array" ref="H173">IFERROR(SUM(IF(FREQUENCY(IF(RawData!$D$2:$D$50000=Home!E173,MATCH(RawData!$H$2:$H$50000,RawData!$H$2:$H$50000,0)),ROW(RawData!$D$2:$D$50000)-ROW(RawData!$D$2)+1),RawData!$J$2:$J$50000)),"")</f>
        <v/>
      </c>
    </row>
    <row r="174" spans="5:8" x14ac:dyDescent="0.2">
      <c r="E174" s="28"/>
      <c r="F174" s="25" t="str">
        <f>IF(E174="","",SUMIFS(RawData!$M$2:$M$50000,RawData!$B$2:$B$50000,"="&amp;Home!$A$5,RawData!$D$2:$D$50000,"="&amp;Home!$E174))</f>
        <v/>
      </c>
      <c r="G174" s="26" t="str">
        <f>IF(E174="","",SUMIFS(RawData!$N$2:$N$50000,RawData!$B$2:$B$50000,"="&amp;Home!$A$5,RawData!$D$2:$D$50000,"="&amp;Home!$E174))</f>
        <v/>
      </c>
      <c r="H174" s="27" t="str">
        <f t="array" ref="H174">IFERROR(SUM(IF(FREQUENCY(IF(RawData!$D$2:$D$50000=Home!E174,MATCH(RawData!$H$2:$H$50000,RawData!$H$2:$H$50000,0)),ROW(RawData!$D$2:$D$50000)-ROW(RawData!$D$2)+1),RawData!$J$2:$J$50000)),"")</f>
        <v/>
      </c>
    </row>
    <row r="175" spans="5:8" x14ac:dyDescent="0.2">
      <c r="E175" s="28"/>
      <c r="F175" s="25" t="str">
        <f>IF(E175="","",SUMIFS(RawData!$M$2:$M$50000,RawData!$B$2:$B$50000,"="&amp;Home!$A$5,RawData!$D$2:$D$50000,"="&amp;Home!$E175))</f>
        <v/>
      </c>
      <c r="G175" s="26" t="str">
        <f>IF(E175="","",SUMIFS(RawData!$N$2:$N$50000,RawData!$B$2:$B$50000,"="&amp;Home!$A$5,RawData!$D$2:$D$50000,"="&amp;Home!$E175))</f>
        <v/>
      </c>
      <c r="H175" s="27" t="str">
        <f t="array" ref="H175">IFERROR(SUM(IF(FREQUENCY(IF(RawData!$D$2:$D$50000=Home!E175,MATCH(RawData!$H$2:$H$50000,RawData!$H$2:$H$50000,0)),ROW(RawData!$D$2:$D$50000)-ROW(RawData!$D$2)+1),RawData!$J$2:$J$50000)),"")</f>
        <v/>
      </c>
    </row>
    <row r="176" spans="5:8" x14ac:dyDescent="0.2">
      <c r="E176" s="28"/>
      <c r="F176" s="25" t="str">
        <f>IF(E176="","",SUMIFS(RawData!$M$2:$M$50000,RawData!$B$2:$B$50000,"="&amp;Home!$A$5,RawData!$D$2:$D$50000,"="&amp;Home!$E176))</f>
        <v/>
      </c>
      <c r="G176" s="26" t="str">
        <f>IF(E176="","",SUMIFS(RawData!$N$2:$N$50000,RawData!$B$2:$B$50000,"="&amp;Home!$A$5,RawData!$D$2:$D$50000,"="&amp;Home!$E176))</f>
        <v/>
      </c>
      <c r="H176" s="27" t="str">
        <f t="array" ref="H176">IFERROR(SUM(IF(FREQUENCY(IF(RawData!$D$2:$D$50000=Home!E176,MATCH(RawData!$H$2:$H$50000,RawData!$H$2:$H$50000,0)),ROW(RawData!$D$2:$D$50000)-ROW(RawData!$D$2)+1),RawData!$J$2:$J$50000)),"")</f>
        <v/>
      </c>
    </row>
    <row r="177" spans="5:8" x14ac:dyDescent="0.2">
      <c r="E177" s="28"/>
      <c r="F177" s="25" t="str">
        <f>IF(E177="","",SUMIFS(RawData!$M$2:$M$50000,RawData!$B$2:$B$50000,"="&amp;Home!$A$5,RawData!$D$2:$D$50000,"="&amp;Home!$E177))</f>
        <v/>
      </c>
      <c r="G177" s="26" t="str">
        <f>IF(E177="","",SUMIFS(RawData!$N$2:$N$50000,RawData!$B$2:$B$50000,"="&amp;Home!$A$5,RawData!$D$2:$D$50000,"="&amp;Home!$E177))</f>
        <v/>
      </c>
      <c r="H177" s="27" t="str">
        <f t="array" ref="H177">IFERROR(SUM(IF(FREQUENCY(IF(RawData!$D$2:$D$50000=Home!E177,MATCH(RawData!$H$2:$H$50000,RawData!$H$2:$H$50000,0)),ROW(RawData!$D$2:$D$50000)-ROW(RawData!$D$2)+1),RawData!$J$2:$J$50000)),"")</f>
        <v/>
      </c>
    </row>
    <row r="178" spans="5:8" x14ac:dyDescent="0.2">
      <c r="E178" s="28"/>
      <c r="F178" s="25" t="str">
        <f>IF(E178="","",SUMIFS(RawData!$M$2:$M$50000,RawData!$B$2:$B$50000,"="&amp;Home!$A$5,RawData!$D$2:$D$50000,"="&amp;Home!$E178))</f>
        <v/>
      </c>
      <c r="G178" s="26" t="str">
        <f>IF(E178="","",SUMIFS(RawData!$N$2:$N$50000,RawData!$B$2:$B$50000,"="&amp;Home!$A$5,RawData!$D$2:$D$50000,"="&amp;Home!$E178))</f>
        <v/>
      </c>
      <c r="H178" s="27" t="str">
        <f t="array" ref="H178">IFERROR(SUM(IF(FREQUENCY(IF(RawData!$D$2:$D$50000=Home!E178,MATCH(RawData!$H$2:$H$50000,RawData!$H$2:$H$50000,0)),ROW(RawData!$D$2:$D$50000)-ROW(RawData!$D$2)+1),RawData!$J$2:$J$50000)),"")</f>
        <v/>
      </c>
    </row>
    <row r="179" spans="5:8" x14ac:dyDescent="0.2">
      <c r="E179" s="28"/>
      <c r="F179" s="25" t="str">
        <f>IF(E179="","",SUMIFS(RawData!$M$2:$M$50000,RawData!$B$2:$B$50000,"="&amp;Home!$A$5,RawData!$D$2:$D$50000,"="&amp;Home!$E179))</f>
        <v/>
      </c>
      <c r="G179" s="26" t="str">
        <f>IF(E179="","",SUMIFS(RawData!$N$2:$N$50000,RawData!$B$2:$B$50000,"="&amp;Home!$A$5,RawData!$D$2:$D$50000,"="&amp;Home!$E179))</f>
        <v/>
      </c>
      <c r="H179" s="27" t="str">
        <f t="array" ref="H179">IFERROR(SUM(IF(FREQUENCY(IF(RawData!$D$2:$D$50000=Home!E179,MATCH(RawData!$H$2:$H$50000,RawData!$H$2:$H$50000,0)),ROW(RawData!$D$2:$D$50000)-ROW(RawData!$D$2)+1),RawData!$J$2:$J$50000)),"")</f>
        <v/>
      </c>
    </row>
    <row r="180" spans="5:8" x14ac:dyDescent="0.2">
      <c r="E180" s="28"/>
      <c r="F180" s="25" t="str">
        <f>IF(E180="","",SUMIFS(RawData!$M$2:$M$50000,RawData!$B$2:$B$50000,"="&amp;Home!$A$5,RawData!$D$2:$D$50000,"="&amp;Home!$E180))</f>
        <v/>
      </c>
      <c r="G180" s="26" t="str">
        <f>IF(E180="","",SUMIFS(RawData!$N$2:$N$50000,RawData!$B$2:$B$50000,"="&amp;Home!$A$5,RawData!$D$2:$D$50000,"="&amp;Home!$E180))</f>
        <v/>
      </c>
      <c r="H180" s="27" t="str">
        <f t="array" ref="H180">IFERROR(SUM(IF(FREQUENCY(IF(RawData!$D$2:$D$50000=Home!E180,MATCH(RawData!$H$2:$H$50000,RawData!$H$2:$H$50000,0)),ROW(RawData!$D$2:$D$50000)-ROW(RawData!$D$2)+1),RawData!$J$2:$J$50000)),"")</f>
        <v/>
      </c>
    </row>
    <row r="181" spans="5:8" x14ac:dyDescent="0.2">
      <c r="E181" s="28"/>
      <c r="F181" s="25" t="str">
        <f>IF(E181="","",SUMIFS(RawData!$M$2:$M$50000,RawData!$B$2:$B$50000,"="&amp;Home!$A$5,RawData!$D$2:$D$50000,"="&amp;Home!$E181))</f>
        <v/>
      </c>
      <c r="G181" s="26" t="str">
        <f>IF(E181="","",SUMIFS(RawData!$N$2:$N$50000,RawData!$B$2:$B$50000,"="&amp;Home!$A$5,RawData!$D$2:$D$50000,"="&amp;Home!$E181))</f>
        <v/>
      </c>
      <c r="H181" s="27" t="str">
        <f t="array" ref="H181">IFERROR(SUM(IF(FREQUENCY(IF(RawData!$D$2:$D$50000=Home!E181,MATCH(RawData!$H$2:$H$50000,RawData!$H$2:$H$50000,0)),ROW(RawData!$D$2:$D$50000)-ROW(RawData!$D$2)+1),RawData!$J$2:$J$50000)),"")</f>
        <v/>
      </c>
    </row>
    <row r="182" spans="5:8" x14ac:dyDescent="0.2">
      <c r="E182" s="28"/>
      <c r="F182" s="25" t="str">
        <f>IF(E182="","",SUMIFS(RawData!$M$2:$M$50000,RawData!$B$2:$B$50000,"="&amp;Home!$A$5,RawData!$D$2:$D$50000,"="&amp;Home!$E182))</f>
        <v/>
      </c>
      <c r="G182" s="26" t="str">
        <f>IF(E182="","",SUMIFS(RawData!$N$2:$N$50000,RawData!$B$2:$B$50000,"="&amp;Home!$A$5,RawData!$D$2:$D$50000,"="&amp;Home!$E182))</f>
        <v/>
      </c>
      <c r="H182" s="27" t="str">
        <f t="array" ref="H182">IFERROR(SUM(IF(FREQUENCY(IF(RawData!$D$2:$D$50000=Home!E182,MATCH(RawData!$H$2:$H$50000,RawData!$H$2:$H$50000,0)),ROW(RawData!$D$2:$D$50000)-ROW(RawData!$D$2)+1),RawData!$J$2:$J$50000)),"")</f>
        <v/>
      </c>
    </row>
    <row r="183" spans="5:8" x14ac:dyDescent="0.2">
      <c r="E183" s="28"/>
      <c r="F183" s="25" t="str">
        <f>IF(E183="","",SUMIFS(RawData!$M$2:$M$50000,RawData!$B$2:$B$50000,"="&amp;Home!$A$5,RawData!$D$2:$D$50000,"="&amp;Home!$E183))</f>
        <v/>
      </c>
      <c r="G183" s="26" t="str">
        <f>IF(E183="","",SUMIFS(RawData!$N$2:$N$50000,RawData!$B$2:$B$50000,"="&amp;Home!$A$5,RawData!$D$2:$D$50000,"="&amp;Home!$E183))</f>
        <v/>
      </c>
      <c r="H183" s="27" t="str">
        <f t="array" ref="H183">IFERROR(SUM(IF(FREQUENCY(IF(RawData!$D$2:$D$50000=Home!E183,MATCH(RawData!$H$2:$H$50000,RawData!$H$2:$H$50000,0)),ROW(RawData!$D$2:$D$50000)-ROW(RawData!$D$2)+1),RawData!$J$2:$J$50000)),"")</f>
        <v/>
      </c>
    </row>
    <row r="184" spans="5:8" x14ac:dyDescent="0.2">
      <c r="E184" s="28"/>
      <c r="F184" s="25" t="str">
        <f>IF(E184="","",SUMIFS(RawData!$M$2:$M$50000,RawData!$B$2:$B$50000,"="&amp;Home!$A$5,RawData!$D$2:$D$50000,"="&amp;Home!$E184))</f>
        <v/>
      </c>
      <c r="G184" s="26" t="str">
        <f>IF(E184="","",SUMIFS(RawData!$N$2:$N$50000,RawData!$B$2:$B$50000,"="&amp;Home!$A$5,RawData!$D$2:$D$50000,"="&amp;Home!$E184))</f>
        <v/>
      </c>
      <c r="H184" s="27" t="str">
        <f t="array" ref="H184">IFERROR(SUM(IF(FREQUENCY(IF(RawData!$D$2:$D$50000=Home!E184,MATCH(RawData!$H$2:$H$50000,RawData!$H$2:$H$50000,0)),ROW(RawData!$D$2:$D$50000)-ROW(RawData!$D$2)+1),RawData!$J$2:$J$50000)),"")</f>
        <v/>
      </c>
    </row>
    <row r="185" spans="5:8" x14ac:dyDescent="0.2">
      <c r="E185" s="28"/>
      <c r="F185" s="25" t="str">
        <f>IF(E185="","",SUMIFS(RawData!$M$2:$M$50000,RawData!$B$2:$B$50000,"="&amp;Home!$A$5,RawData!$D$2:$D$50000,"="&amp;Home!$E185))</f>
        <v/>
      </c>
      <c r="G185" s="26" t="str">
        <f>IF(E185="","",SUMIFS(RawData!$N$2:$N$50000,RawData!$B$2:$B$50000,"="&amp;Home!$A$5,RawData!$D$2:$D$50000,"="&amp;Home!$E185))</f>
        <v/>
      </c>
      <c r="H185" s="27" t="str">
        <f t="array" ref="H185">IFERROR(SUM(IF(FREQUENCY(IF(RawData!$D$2:$D$50000=Home!E185,MATCH(RawData!$H$2:$H$50000,RawData!$H$2:$H$50000,0)),ROW(RawData!$D$2:$D$50000)-ROW(RawData!$D$2)+1),RawData!$J$2:$J$50000)),"")</f>
        <v/>
      </c>
    </row>
    <row r="186" spans="5:8" x14ac:dyDescent="0.2">
      <c r="E186" s="28"/>
      <c r="F186" s="25" t="str">
        <f>IF(E186="","",SUMIFS(RawData!$M$2:$M$50000,RawData!$B$2:$B$50000,"="&amp;Home!$A$5,RawData!$D$2:$D$50000,"="&amp;Home!$E186))</f>
        <v/>
      </c>
      <c r="G186" s="26" t="str">
        <f>IF(E186="","",SUMIFS(RawData!$N$2:$N$50000,RawData!$B$2:$B$50000,"="&amp;Home!$A$5,RawData!$D$2:$D$50000,"="&amp;Home!$E186))</f>
        <v/>
      </c>
      <c r="H186" s="27" t="str">
        <f t="array" ref="H186">IFERROR(SUM(IF(FREQUENCY(IF(RawData!$D$2:$D$50000=Home!E186,MATCH(RawData!$H$2:$H$50000,RawData!$H$2:$H$50000,0)),ROW(RawData!$D$2:$D$50000)-ROW(RawData!$D$2)+1),RawData!$J$2:$J$50000)),"")</f>
        <v/>
      </c>
    </row>
    <row r="187" spans="5:8" x14ac:dyDescent="0.2">
      <c r="E187" s="28"/>
      <c r="F187" s="25" t="str">
        <f>IF(E187="","",SUMIFS(RawData!$M$2:$M$50000,RawData!$B$2:$B$50000,"="&amp;Home!$A$5,RawData!$D$2:$D$50000,"="&amp;Home!$E187))</f>
        <v/>
      </c>
      <c r="G187" s="26" t="str">
        <f>IF(E187="","",SUMIFS(RawData!$N$2:$N$50000,RawData!$B$2:$B$50000,"="&amp;Home!$A$5,RawData!$D$2:$D$50000,"="&amp;Home!$E187))</f>
        <v/>
      </c>
      <c r="H187" s="27" t="str">
        <f t="array" ref="H187">IFERROR(SUM(IF(FREQUENCY(IF(RawData!$D$2:$D$50000=Home!E187,MATCH(RawData!$H$2:$H$50000,RawData!$H$2:$H$50000,0)),ROW(RawData!$D$2:$D$50000)-ROW(RawData!$D$2)+1),RawData!$J$2:$J$50000)),"")</f>
        <v/>
      </c>
    </row>
    <row r="188" spans="5:8" x14ac:dyDescent="0.2">
      <c r="E188" s="28"/>
      <c r="F188" s="25" t="str">
        <f>IF(E188="","",SUMIFS(RawData!$M$2:$M$50000,RawData!$B$2:$B$50000,"="&amp;Home!$A$5,RawData!$D$2:$D$50000,"="&amp;Home!$E188))</f>
        <v/>
      </c>
      <c r="G188" s="26" t="str">
        <f>IF(E188="","",SUMIFS(RawData!$N$2:$N$50000,RawData!$B$2:$B$50000,"="&amp;Home!$A$5,RawData!$D$2:$D$50000,"="&amp;Home!$E188))</f>
        <v/>
      </c>
      <c r="H188" s="27" t="str">
        <f t="array" ref="H188">IFERROR(SUM(IF(FREQUENCY(IF(RawData!$D$2:$D$50000=Home!E188,MATCH(RawData!$H$2:$H$50000,RawData!$H$2:$H$50000,0)),ROW(RawData!$D$2:$D$50000)-ROW(RawData!$D$2)+1),RawData!$J$2:$J$50000)),"")</f>
        <v/>
      </c>
    </row>
    <row r="189" spans="5:8" x14ac:dyDescent="0.2">
      <c r="E189" s="28"/>
      <c r="F189" s="25" t="str">
        <f>IF(E189="","",SUMIFS(RawData!$M$2:$M$50000,RawData!$B$2:$B$50000,"="&amp;Home!$A$5,RawData!$D$2:$D$50000,"="&amp;Home!$E189))</f>
        <v/>
      </c>
      <c r="G189" s="26" t="str">
        <f>IF(E189="","",SUMIFS(RawData!$N$2:$N$50000,RawData!$B$2:$B$50000,"="&amp;Home!$A$5,RawData!$D$2:$D$50000,"="&amp;Home!$E189))</f>
        <v/>
      </c>
      <c r="H189" s="27" t="str">
        <f t="array" ref="H189">IFERROR(SUM(IF(FREQUENCY(IF(RawData!$D$2:$D$50000=Home!E189,MATCH(RawData!$H$2:$H$50000,RawData!$H$2:$H$50000,0)),ROW(RawData!$D$2:$D$50000)-ROW(RawData!$D$2)+1),RawData!$J$2:$J$50000)),"")</f>
        <v/>
      </c>
    </row>
    <row r="190" spans="5:8" x14ac:dyDescent="0.2">
      <c r="E190" s="28"/>
      <c r="F190" s="25" t="str">
        <f>IF(E190="","",SUMIFS(RawData!$M$2:$M$50000,RawData!$B$2:$B$50000,"="&amp;Home!$A$5,RawData!$D$2:$D$50000,"="&amp;Home!$E190))</f>
        <v/>
      </c>
      <c r="G190" s="26" t="str">
        <f>IF(E190="","",SUMIFS(RawData!$N$2:$N$50000,RawData!$B$2:$B$50000,"="&amp;Home!$A$5,RawData!$D$2:$D$50000,"="&amp;Home!$E190))</f>
        <v/>
      </c>
      <c r="H190" s="27" t="str">
        <f t="array" ref="H190">IFERROR(SUM(IF(FREQUENCY(IF(RawData!$D$2:$D$50000=Home!E190,MATCH(RawData!$H$2:$H$50000,RawData!$H$2:$H$50000,0)),ROW(RawData!$D$2:$D$50000)-ROW(RawData!$D$2)+1),RawData!$J$2:$J$50000)),"")</f>
        <v/>
      </c>
    </row>
    <row r="191" spans="5:8" x14ac:dyDescent="0.2">
      <c r="E191" s="28"/>
      <c r="F191" s="25" t="str">
        <f>IF(E191="","",SUMIFS(RawData!$M$2:$M$50000,RawData!$B$2:$B$50000,"="&amp;Home!$A$5,RawData!$D$2:$D$50000,"="&amp;Home!$E191))</f>
        <v/>
      </c>
      <c r="G191" s="26" t="str">
        <f>IF(E191="","",SUMIFS(RawData!$N$2:$N$50000,RawData!$B$2:$B$50000,"="&amp;Home!$A$5,RawData!$D$2:$D$50000,"="&amp;Home!$E191))</f>
        <v/>
      </c>
      <c r="H191" s="27" t="str">
        <f t="array" ref="H191">IFERROR(SUM(IF(FREQUENCY(IF(RawData!$D$2:$D$50000=Home!E191,MATCH(RawData!$H$2:$H$50000,RawData!$H$2:$H$50000,0)),ROW(RawData!$D$2:$D$50000)-ROW(RawData!$D$2)+1),RawData!$J$2:$J$50000)),"")</f>
        <v/>
      </c>
    </row>
    <row r="192" spans="5:8" x14ac:dyDescent="0.2">
      <c r="E192" s="28"/>
      <c r="F192" s="25" t="str">
        <f>IF(E192="","",SUMIFS(RawData!$M$2:$M$50000,RawData!$B$2:$B$50000,"="&amp;Home!$A$5,RawData!$D$2:$D$50000,"="&amp;Home!$E192))</f>
        <v/>
      </c>
      <c r="G192" s="26" t="str">
        <f>IF(E192="","",SUMIFS(RawData!$N$2:$N$50000,RawData!$B$2:$B$50000,"="&amp;Home!$A$5,RawData!$D$2:$D$50000,"="&amp;Home!$E192))</f>
        <v/>
      </c>
      <c r="H192" s="27" t="str">
        <f t="array" ref="H192">IFERROR(SUM(IF(FREQUENCY(IF(RawData!$D$2:$D$50000=Home!E192,MATCH(RawData!$H$2:$H$50000,RawData!$H$2:$H$50000,0)),ROW(RawData!$D$2:$D$50000)-ROW(RawData!$D$2)+1),RawData!$J$2:$J$50000)),"")</f>
        <v/>
      </c>
    </row>
    <row r="193" spans="5:8" x14ac:dyDescent="0.2">
      <c r="E193" s="28"/>
      <c r="F193" s="25" t="str">
        <f>IF(E193="","",SUMIFS(RawData!$M$2:$M$50000,RawData!$B$2:$B$50000,"="&amp;Home!$A$5,RawData!$D$2:$D$50000,"="&amp;Home!$E193))</f>
        <v/>
      </c>
      <c r="G193" s="26" t="str">
        <f>IF(E193="","",SUMIFS(RawData!$N$2:$N$50000,RawData!$B$2:$B$50000,"="&amp;Home!$A$5,RawData!$D$2:$D$50000,"="&amp;Home!$E193))</f>
        <v/>
      </c>
      <c r="H193" s="27" t="str">
        <f t="array" ref="H193">IFERROR(SUM(IF(FREQUENCY(IF(RawData!$D$2:$D$50000=Home!E193,MATCH(RawData!$H$2:$H$50000,RawData!$H$2:$H$50000,0)),ROW(RawData!$D$2:$D$50000)-ROW(RawData!$D$2)+1),RawData!$J$2:$J$50000)),"")</f>
        <v/>
      </c>
    </row>
    <row r="194" spans="5:8" x14ac:dyDescent="0.2">
      <c r="E194" s="28"/>
      <c r="F194" s="25" t="str">
        <f>IF(E194="","",SUMIFS(RawData!$M$2:$M$50000,RawData!$B$2:$B$50000,"="&amp;Home!$A$5,RawData!$D$2:$D$50000,"="&amp;Home!$E194))</f>
        <v/>
      </c>
      <c r="G194" s="26" t="str">
        <f>IF(E194="","",SUMIFS(RawData!$N$2:$N$50000,RawData!$B$2:$B$50000,"="&amp;Home!$A$5,RawData!$D$2:$D$50000,"="&amp;Home!$E194))</f>
        <v/>
      </c>
      <c r="H194" s="27" t="str">
        <f t="array" ref="H194">IFERROR(SUM(IF(FREQUENCY(IF(RawData!$D$2:$D$50000=Home!E194,MATCH(RawData!$H$2:$H$50000,RawData!$H$2:$H$50000,0)),ROW(RawData!$D$2:$D$50000)-ROW(RawData!$D$2)+1),RawData!$J$2:$J$50000)),"")</f>
        <v/>
      </c>
    </row>
    <row r="195" spans="5:8" x14ac:dyDescent="0.2">
      <c r="E195" s="28"/>
      <c r="F195" s="25" t="str">
        <f>IF(E195="","",SUMIFS(RawData!$M$2:$M$50000,RawData!$B$2:$B$50000,"="&amp;Home!$A$5,RawData!$D$2:$D$50000,"="&amp;Home!$E195))</f>
        <v/>
      </c>
      <c r="G195" s="26" t="str">
        <f>IF(E195="","",SUMIFS(RawData!$N$2:$N$50000,RawData!$B$2:$B$50000,"="&amp;Home!$A$5,RawData!$D$2:$D$50000,"="&amp;Home!$E195))</f>
        <v/>
      </c>
      <c r="H195" s="27" t="str">
        <f t="array" ref="H195">IFERROR(SUM(IF(FREQUENCY(IF(RawData!$D$2:$D$50000=Home!E195,MATCH(RawData!$H$2:$H$50000,RawData!$H$2:$H$50000,0)),ROW(RawData!$D$2:$D$50000)-ROW(RawData!$D$2)+1),RawData!$J$2:$J$50000)),"")</f>
        <v/>
      </c>
    </row>
    <row r="196" spans="5:8" x14ac:dyDescent="0.2">
      <c r="E196" s="28"/>
      <c r="F196" s="25" t="str">
        <f>IF(E196="","",SUMIFS(RawData!$M$2:$M$50000,RawData!$B$2:$B$50000,"="&amp;Home!$A$5,RawData!$D$2:$D$50000,"="&amp;Home!$E196))</f>
        <v/>
      </c>
      <c r="G196" s="26" t="str">
        <f>IF(E196="","",SUMIFS(RawData!$N$2:$N$50000,RawData!$B$2:$B$50000,"="&amp;Home!$A$5,RawData!$D$2:$D$50000,"="&amp;Home!$E196))</f>
        <v/>
      </c>
      <c r="H196" s="27" t="str">
        <f t="array" ref="H196">IFERROR(SUM(IF(FREQUENCY(IF(RawData!$D$2:$D$50000=Home!E196,MATCH(RawData!$H$2:$H$50000,RawData!$H$2:$H$50000,0)),ROW(RawData!$D$2:$D$50000)-ROW(RawData!$D$2)+1),RawData!$J$2:$J$50000)),"")</f>
        <v/>
      </c>
    </row>
    <row r="197" spans="5:8" x14ac:dyDescent="0.2">
      <c r="E197" s="28"/>
      <c r="F197" s="25" t="str">
        <f>IF(E197="","",SUMIFS(RawData!$M$2:$M$50000,RawData!$B$2:$B$50000,"="&amp;Home!$A$5,RawData!$D$2:$D$50000,"="&amp;Home!$E197))</f>
        <v/>
      </c>
      <c r="G197" s="26" t="str">
        <f>IF(E197="","",SUMIFS(RawData!$N$2:$N$50000,RawData!$B$2:$B$50000,"="&amp;Home!$A$5,RawData!$D$2:$D$50000,"="&amp;Home!$E197))</f>
        <v/>
      </c>
      <c r="H197" s="27" t="str">
        <f t="array" ref="H197">IFERROR(SUM(IF(FREQUENCY(IF(RawData!$D$2:$D$50000=Home!E197,MATCH(RawData!$H$2:$H$50000,RawData!$H$2:$H$50000,0)),ROW(RawData!$D$2:$D$50000)-ROW(RawData!$D$2)+1),RawData!$J$2:$J$50000)),"")</f>
        <v/>
      </c>
    </row>
    <row r="198" spans="5:8" x14ac:dyDescent="0.2">
      <c r="E198" s="28"/>
      <c r="F198" s="25" t="str">
        <f>IF(E198="","",SUMIFS(RawData!$M$2:$M$50000,RawData!$B$2:$B$50000,"="&amp;Home!$A$5,RawData!$D$2:$D$50000,"="&amp;Home!$E198))</f>
        <v/>
      </c>
      <c r="G198" s="26" t="str">
        <f>IF(E198="","",SUMIFS(RawData!$N$2:$N$50000,RawData!$B$2:$B$50000,"="&amp;Home!$A$5,RawData!$D$2:$D$50000,"="&amp;Home!$E198))</f>
        <v/>
      </c>
      <c r="H198" s="27" t="str">
        <f t="array" ref="H198">IFERROR(SUM(IF(FREQUENCY(IF(RawData!$D$2:$D$50000=Home!E198,MATCH(RawData!$H$2:$H$50000,RawData!$H$2:$H$50000,0)),ROW(RawData!$D$2:$D$50000)-ROW(RawData!$D$2)+1),RawData!$J$2:$J$50000)),"")</f>
        <v/>
      </c>
    </row>
    <row r="199" spans="5:8" x14ac:dyDescent="0.2">
      <c r="E199" s="28"/>
      <c r="F199" s="25" t="str">
        <f>IF(E199="","",SUMIFS(RawData!$M$2:$M$50000,RawData!$B$2:$B$50000,"="&amp;Home!$A$5,RawData!$D$2:$D$50000,"="&amp;Home!$E199))</f>
        <v/>
      </c>
      <c r="G199" s="26" t="str">
        <f>IF(E199="","",SUMIFS(RawData!$N$2:$N$50000,RawData!$B$2:$B$50000,"="&amp;Home!$A$5,RawData!$D$2:$D$50000,"="&amp;Home!$E199))</f>
        <v/>
      </c>
      <c r="H199" s="27" t="str">
        <f t="array" ref="H199">IFERROR(SUM(IF(FREQUENCY(IF(RawData!$D$2:$D$50000=Home!E199,MATCH(RawData!$H$2:$H$50000,RawData!$H$2:$H$50000,0)),ROW(RawData!$D$2:$D$50000)-ROW(RawData!$D$2)+1),RawData!$J$2:$J$50000)),"")</f>
        <v/>
      </c>
    </row>
    <row r="200" spans="5:8" x14ac:dyDescent="0.2">
      <c r="E200" s="28"/>
      <c r="F200" s="25" t="str">
        <f>IF(E200="","",SUMIFS(RawData!$M$2:$M$50000,RawData!$B$2:$B$50000,"="&amp;Home!$A$5,RawData!$D$2:$D$50000,"="&amp;Home!$E200))</f>
        <v/>
      </c>
      <c r="G200" s="26" t="str">
        <f>IF(E200="","",SUMIFS(RawData!$N$2:$N$50000,RawData!$B$2:$B$50000,"="&amp;Home!$A$5,RawData!$D$2:$D$50000,"="&amp;Home!$E200))</f>
        <v/>
      </c>
      <c r="H200" s="27" t="str">
        <f t="array" ref="H200">IFERROR(SUM(IF(FREQUENCY(IF(RawData!$D$2:$D$50000=Home!E200,MATCH(RawData!$H$2:$H$50000,RawData!$H$2:$H$50000,0)),ROW(RawData!$D$2:$D$50000)-ROW(RawData!$D$2)+1),RawData!$J$2:$J$50000)),"")</f>
        <v/>
      </c>
    </row>
    <row r="201" spans="5:8" x14ac:dyDescent="0.2">
      <c r="E201" s="28"/>
      <c r="F201" s="25" t="str">
        <f>IF(E201="","",SUMIFS(RawData!$M$2:$M$50000,RawData!$B$2:$B$50000,"="&amp;Home!$A$5,RawData!$D$2:$D$50000,"="&amp;Home!$E201))</f>
        <v/>
      </c>
      <c r="G201" s="26" t="str">
        <f>IF(E201="","",SUMIFS(RawData!$N$2:$N$50000,RawData!$B$2:$B$50000,"="&amp;Home!$A$5,RawData!$D$2:$D$50000,"="&amp;Home!$E201))</f>
        <v/>
      </c>
      <c r="H201" s="27" t="str">
        <f t="array" ref="H201">IFERROR(SUM(IF(FREQUENCY(IF(RawData!$D$2:$D$50000=Home!E201,MATCH(RawData!$H$2:$H$50000,RawData!$H$2:$H$50000,0)),ROW(RawData!$D$2:$D$50000)-ROW(RawData!$D$2)+1),RawData!$J$2:$J$50000)),"")</f>
        <v/>
      </c>
    </row>
    <row r="202" spans="5:8" x14ac:dyDescent="0.2">
      <c r="E202" s="28"/>
      <c r="F202" s="25" t="str">
        <f>IF(E202="","",SUMIFS(RawData!$M$2:$M$50000,RawData!$B$2:$B$50000,"="&amp;Home!$A$5,RawData!$D$2:$D$50000,"="&amp;Home!$E202))</f>
        <v/>
      </c>
      <c r="G202" s="26" t="str">
        <f>IF(E202="","",SUMIFS(RawData!$N$2:$N$50000,RawData!$B$2:$B$50000,"="&amp;Home!$A$5,RawData!$D$2:$D$50000,"="&amp;Home!$E202))</f>
        <v/>
      </c>
      <c r="H202" s="27" t="str">
        <f t="array" ref="H202">IFERROR(SUM(IF(FREQUENCY(IF(RawData!$D$2:$D$50000=Home!E202,MATCH(RawData!$H$2:$H$50000,RawData!$H$2:$H$50000,0)),ROW(RawData!$D$2:$D$50000)-ROW(RawData!$D$2)+1),RawData!$J$2:$J$50000)),"")</f>
        <v/>
      </c>
    </row>
    <row r="203" spans="5:8" x14ac:dyDescent="0.2">
      <c r="E203" s="28"/>
      <c r="F203" s="25" t="str">
        <f>IF(E203="","",SUMIFS(RawData!$M$2:$M$50000,RawData!$B$2:$B$50000,"="&amp;Home!$A$5,RawData!$D$2:$D$50000,"="&amp;Home!$E203))</f>
        <v/>
      </c>
      <c r="G203" s="26" t="str">
        <f>IF(E203="","",SUMIFS(RawData!$N$2:$N$50000,RawData!$B$2:$B$50000,"="&amp;Home!$A$5,RawData!$D$2:$D$50000,"="&amp;Home!$E203))</f>
        <v/>
      </c>
      <c r="H203" s="27" t="str">
        <f t="array" ref="H203">IFERROR(SUM(IF(FREQUENCY(IF(RawData!$D$2:$D$50000=Home!E203,MATCH(RawData!$H$2:$H$50000,RawData!$H$2:$H$50000,0)),ROW(RawData!$D$2:$D$50000)-ROW(RawData!$D$2)+1),RawData!$J$2:$J$50000)),"")</f>
        <v/>
      </c>
    </row>
    <row r="204" spans="5:8" x14ac:dyDescent="0.2">
      <c r="E204" s="28"/>
      <c r="F204" s="25" t="str">
        <f>IF(E204="","",SUMIFS(RawData!$M$2:$M$50000,RawData!$B$2:$B$50000,"="&amp;Home!$A$5,RawData!$D$2:$D$50000,"="&amp;Home!$E204))</f>
        <v/>
      </c>
      <c r="G204" s="26" t="str">
        <f>IF(E204="","",SUMIFS(RawData!$N$2:$N$50000,RawData!$B$2:$B$50000,"="&amp;Home!$A$5,RawData!$D$2:$D$50000,"="&amp;Home!$E204))</f>
        <v/>
      </c>
      <c r="H204" s="27" t="str">
        <f t="array" ref="H204">IFERROR(SUM(IF(FREQUENCY(IF(RawData!$D$2:$D$50000=Home!E204,MATCH(RawData!$H$2:$H$50000,RawData!$H$2:$H$50000,0)),ROW(RawData!$D$2:$D$50000)-ROW(RawData!$D$2)+1),RawData!$J$2:$J$50000)),"")</f>
        <v/>
      </c>
    </row>
    <row r="205" spans="5:8" x14ac:dyDescent="0.2">
      <c r="E205" s="28"/>
      <c r="F205" s="25" t="str">
        <f>IF(E205="","",SUMIFS(RawData!$M$2:$M$50000,RawData!$B$2:$B$50000,"="&amp;Home!$A$5,RawData!$D$2:$D$50000,"="&amp;Home!$E205))</f>
        <v/>
      </c>
      <c r="G205" s="26" t="str">
        <f>IF(E205="","",SUMIFS(RawData!$N$2:$N$50000,RawData!$B$2:$B$50000,"="&amp;Home!$A$5,RawData!$D$2:$D$50000,"="&amp;Home!$E205))</f>
        <v/>
      </c>
      <c r="H205" s="27" t="str">
        <f t="array" ref="H205">IFERROR(SUM(IF(FREQUENCY(IF(RawData!$D$2:$D$50000=Home!E205,MATCH(RawData!$H$2:$H$50000,RawData!$H$2:$H$50000,0)),ROW(RawData!$D$2:$D$50000)-ROW(RawData!$D$2)+1),RawData!$J$2:$J$50000)),"")</f>
        <v/>
      </c>
    </row>
    <row r="206" spans="5:8" x14ac:dyDescent="0.2">
      <c r="E206" s="28"/>
      <c r="F206" s="25" t="str">
        <f>IF(E206="","",SUMIFS(RawData!$M$2:$M$50000,RawData!$B$2:$B$50000,"="&amp;Home!$A$5,RawData!$D$2:$D$50000,"="&amp;Home!$E206))</f>
        <v/>
      </c>
      <c r="G206" s="26" t="str">
        <f>IF(E206="","",SUMIFS(RawData!$N$2:$N$50000,RawData!$B$2:$B$50000,"="&amp;Home!$A$5,RawData!$D$2:$D$50000,"="&amp;Home!$E206))</f>
        <v/>
      </c>
      <c r="H206" s="27" t="str">
        <f t="array" ref="H206">IFERROR(SUM(IF(FREQUENCY(IF(RawData!$D$2:$D$50000=Home!E206,MATCH(RawData!$H$2:$H$50000,RawData!$H$2:$H$50000,0)),ROW(RawData!$D$2:$D$50000)-ROW(RawData!$D$2)+1),RawData!$J$2:$J$50000)),"")</f>
        <v/>
      </c>
    </row>
    <row r="207" spans="5:8" x14ac:dyDescent="0.2">
      <c r="E207" s="28"/>
      <c r="F207" s="25" t="str">
        <f>IF(E207="","",SUMIFS(RawData!$M$2:$M$50000,RawData!$B$2:$B$50000,"="&amp;Home!$A$5,RawData!$D$2:$D$50000,"="&amp;Home!$E207))</f>
        <v/>
      </c>
      <c r="G207" s="26" t="str">
        <f>IF(E207="","",SUMIFS(RawData!$N$2:$N$50000,RawData!$B$2:$B$50000,"="&amp;Home!$A$5,RawData!$D$2:$D$50000,"="&amp;Home!$E207))</f>
        <v/>
      </c>
      <c r="H207" s="27" t="str">
        <f t="array" ref="H207">IFERROR(SUM(IF(FREQUENCY(IF(RawData!$D$2:$D$50000=Home!E207,MATCH(RawData!$H$2:$H$50000,RawData!$H$2:$H$50000,0)),ROW(RawData!$D$2:$D$50000)-ROW(RawData!$D$2)+1),RawData!$J$2:$J$50000)),"")</f>
        <v/>
      </c>
    </row>
    <row r="208" spans="5:8" x14ac:dyDescent="0.2">
      <c r="E208" s="28"/>
      <c r="F208" s="25" t="str">
        <f>IF(E208="","",SUMIFS(RawData!$M$2:$M$50000,RawData!$B$2:$B$50000,"="&amp;Home!$A$5,RawData!$D$2:$D$50000,"="&amp;Home!$E208))</f>
        <v/>
      </c>
      <c r="G208" s="26" t="str">
        <f>IF(E208="","",SUMIFS(RawData!$N$2:$N$50000,RawData!$B$2:$B$50000,"="&amp;Home!$A$5,RawData!$D$2:$D$50000,"="&amp;Home!$E208))</f>
        <v/>
      </c>
      <c r="H208" s="27" t="str">
        <f t="array" ref="H208">IFERROR(SUM(IF(FREQUENCY(IF(RawData!$D$2:$D$50000=Home!E208,MATCH(RawData!$H$2:$H$50000,RawData!$H$2:$H$50000,0)),ROW(RawData!$D$2:$D$50000)-ROW(RawData!$D$2)+1),RawData!$J$2:$J$50000)),"")</f>
        <v/>
      </c>
    </row>
    <row r="209" spans="5:8" x14ac:dyDescent="0.2">
      <c r="E209" s="28"/>
      <c r="F209" s="25" t="str">
        <f>IF(E209="","",SUMIFS(RawData!$M$2:$M$50000,RawData!$B$2:$B$50000,"="&amp;Home!$A$5,RawData!$D$2:$D$50000,"="&amp;Home!$E209))</f>
        <v/>
      </c>
      <c r="G209" s="26" t="str">
        <f>IF(E209="","",SUMIFS(RawData!$N$2:$N$50000,RawData!$B$2:$B$50000,"="&amp;Home!$A$5,RawData!$D$2:$D$50000,"="&amp;Home!$E209))</f>
        <v/>
      </c>
      <c r="H209" s="27" t="str">
        <f t="array" ref="H209">IFERROR(SUM(IF(FREQUENCY(IF(RawData!$D$2:$D$50000=Home!E209,MATCH(RawData!$H$2:$H$50000,RawData!$H$2:$H$50000,0)),ROW(RawData!$D$2:$D$50000)-ROW(RawData!$D$2)+1),RawData!$J$2:$J$50000)),"")</f>
        <v/>
      </c>
    </row>
    <row r="210" spans="5:8" x14ac:dyDescent="0.2">
      <c r="E210" s="28"/>
      <c r="F210" s="25" t="str">
        <f>IF(E210="","",SUMIFS(RawData!$M$2:$M$50000,RawData!$B$2:$B$50000,"="&amp;Home!$A$5,RawData!$D$2:$D$50000,"="&amp;Home!$E210))</f>
        <v/>
      </c>
      <c r="G210" s="26" t="str">
        <f>IF(E210="","",SUMIFS(RawData!$N$2:$N$50000,RawData!$B$2:$B$50000,"="&amp;Home!$A$5,RawData!$D$2:$D$50000,"="&amp;Home!$E210))</f>
        <v/>
      </c>
      <c r="H210" s="27" t="str">
        <f t="array" ref="H210">IFERROR(SUM(IF(FREQUENCY(IF(RawData!$D$2:$D$50000=Home!E210,MATCH(RawData!$H$2:$H$50000,RawData!$H$2:$H$50000,0)),ROW(RawData!$D$2:$D$50000)-ROW(RawData!$D$2)+1),RawData!$J$2:$J$50000)),"")</f>
        <v/>
      </c>
    </row>
    <row r="211" spans="5:8" x14ac:dyDescent="0.2">
      <c r="E211" s="28"/>
      <c r="F211" s="25" t="str">
        <f>IF(E211="","",SUMIFS(RawData!$M$2:$M$50000,RawData!$B$2:$B$50000,"="&amp;Home!$A$5,RawData!$D$2:$D$50000,"="&amp;Home!$E211))</f>
        <v/>
      </c>
      <c r="G211" s="26" t="str">
        <f>IF(E211="","",SUMIFS(RawData!$N$2:$N$50000,RawData!$B$2:$B$50000,"="&amp;Home!$A$5,RawData!$D$2:$D$50000,"="&amp;Home!$E211))</f>
        <v/>
      </c>
      <c r="H211" s="27" t="str">
        <f t="array" ref="H211">IFERROR(SUM(IF(FREQUENCY(IF(RawData!$D$2:$D$50000=Home!E211,MATCH(RawData!$H$2:$H$50000,RawData!$H$2:$H$50000,0)),ROW(RawData!$D$2:$D$50000)-ROW(RawData!$D$2)+1),RawData!$J$2:$J$50000)),"")</f>
        <v/>
      </c>
    </row>
    <row r="212" spans="5:8" x14ac:dyDescent="0.2">
      <c r="E212" s="28"/>
      <c r="F212" s="25" t="str">
        <f>IF(E212="","",SUMIFS(RawData!$M$2:$M$50000,RawData!$B$2:$B$50000,"="&amp;Home!$A$5,RawData!$D$2:$D$50000,"="&amp;Home!$E212))</f>
        <v/>
      </c>
      <c r="G212" s="26" t="str">
        <f>IF(E212="","",SUMIFS(RawData!$N$2:$N$50000,RawData!$B$2:$B$50000,"="&amp;Home!$A$5,RawData!$D$2:$D$50000,"="&amp;Home!$E212))</f>
        <v/>
      </c>
      <c r="H212" s="27" t="str">
        <f t="array" ref="H212">IFERROR(SUM(IF(FREQUENCY(IF(RawData!$D$2:$D$50000=Home!E212,MATCH(RawData!$H$2:$H$50000,RawData!$H$2:$H$50000,0)),ROW(RawData!$D$2:$D$50000)-ROW(RawData!$D$2)+1),RawData!$J$2:$J$50000)),"")</f>
        <v/>
      </c>
    </row>
    <row r="213" spans="5:8" x14ac:dyDescent="0.2">
      <c r="E213" s="28"/>
      <c r="F213" s="25" t="str">
        <f>IF(E213="","",SUMIFS(RawData!$M$2:$M$50000,RawData!$B$2:$B$50000,"="&amp;Home!$A$5,RawData!$D$2:$D$50000,"="&amp;Home!$E213))</f>
        <v/>
      </c>
      <c r="G213" s="26" t="str">
        <f>IF(E213="","",SUMIFS(RawData!$N$2:$N$50000,RawData!$B$2:$B$50000,"="&amp;Home!$A$5,RawData!$D$2:$D$50000,"="&amp;Home!$E213))</f>
        <v/>
      </c>
      <c r="H213" s="27" t="str">
        <f t="array" ref="H213">IFERROR(SUM(IF(FREQUENCY(IF(RawData!$D$2:$D$50000=Home!E213,MATCH(RawData!$H$2:$H$50000,RawData!$H$2:$H$50000,0)),ROW(RawData!$D$2:$D$50000)-ROW(RawData!$D$2)+1),RawData!$J$2:$J$50000)),"")</f>
        <v/>
      </c>
    </row>
    <row r="214" spans="5:8" x14ac:dyDescent="0.2">
      <c r="E214" s="28"/>
      <c r="F214" s="25" t="str">
        <f>IF(E214="","",SUMIFS(RawData!$M$2:$M$50000,RawData!$B$2:$B$50000,"="&amp;Home!$A$5,RawData!$D$2:$D$50000,"="&amp;Home!$E214))</f>
        <v/>
      </c>
      <c r="G214" s="26" t="str">
        <f>IF(E214="","",SUMIFS(RawData!$N$2:$N$50000,RawData!$B$2:$B$50000,"="&amp;Home!$A$5,RawData!$D$2:$D$50000,"="&amp;Home!$E214))</f>
        <v/>
      </c>
      <c r="H214" s="27" t="str">
        <f t="array" ref="H214">IFERROR(SUM(IF(FREQUENCY(IF(RawData!$D$2:$D$50000=Home!E214,MATCH(RawData!$H$2:$H$50000,RawData!$H$2:$H$50000,0)),ROW(RawData!$D$2:$D$50000)-ROW(RawData!$D$2)+1),RawData!$J$2:$J$50000)),"")</f>
        <v/>
      </c>
    </row>
    <row r="215" spans="5:8" x14ac:dyDescent="0.2">
      <c r="E215" s="28"/>
      <c r="F215" s="25" t="str">
        <f>IF(E215="","",SUMIFS(RawData!$M$2:$M$50000,RawData!$B$2:$B$50000,"="&amp;Home!$A$5,RawData!$D$2:$D$50000,"="&amp;Home!$E215))</f>
        <v/>
      </c>
      <c r="G215" s="26" t="str">
        <f>IF(E215="","",SUMIFS(RawData!$N$2:$N$50000,RawData!$B$2:$B$50000,"="&amp;Home!$A$5,RawData!$D$2:$D$50000,"="&amp;Home!$E215))</f>
        <v/>
      </c>
      <c r="H215" s="27" t="str">
        <f t="array" ref="H215">IFERROR(SUM(IF(FREQUENCY(IF(RawData!$D$2:$D$50000=Home!E215,MATCH(RawData!$H$2:$H$50000,RawData!$H$2:$H$50000,0)),ROW(RawData!$D$2:$D$50000)-ROW(RawData!$D$2)+1),RawData!$J$2:$J$50000)),"")</f>
        <v/>
      </c>
    </row>
    <row r="216" spans="5:8" x14ac:dyDescent="0.2">
      <c r="E216" s="28"/>
      <c r="F216" s="25" t="str">
        <f>IF(E216="","",SUMIFS(RawData!$M$2:$M$50000,RawData!$B$2:$B$50000,"="&amp;Home!$A$5,RawData!$D$2:$D$50000,"="&amp;Home!$E216))</f>
        <v/>
      </c>
      <c r="G216" s="26" t="str">
        <f>IF(E216="","",SUMIFS(RawData!$N$2:$N$50000,RawData!$B$2:$B$50000,"="&amp;Home!$A$5,RawData!$D$2:$D$50000,"="&amp;Home!$E216))</f>
        <v/>
      </c>
      <c r="H216" s="27" t="str">
        <f t="array" ref="H216">IFERROR(SUM(IF(FREQUENCY(IF(RawData!$D$2:$D$50000=Home!E216,MATCH(RawData!$H$2:$H$50000,RawData!$H$2:$H$50000,0)),ROW(RawData!$D$2:$D$50000)-ROW(RawData!$D$2)+1),RawData!$J$2:$J$50000)),"")</f>
        <v/>
      </c>
    </row>
    <row r="217" spans="5:8" x14ac:dyDescent="0.2">
      <c r="E217" s="28"/>
      <c r="F217" s="25" t="str">
        <f>IF(E217="","",SUMIFS(RawData!$M$2:$M$50000,RawData!$B$2:$B$50000,"="&amp;Home!$A$5,RawData!$D$2:$D$50000,"="&amp;Home!$E217))</f>
        <v/>
      </c>
      <c r="G217" s="26" t="str">
        <f>IF(E217="","",SUMIFS(RawData!$N$2:$N$50000,RawData!$B$2:$B$50000,"="&amp;Home!$A$5,RawData!$D$2:$D$50000,"="&amp;Home!$E217))</f>
        <v/>
      </c>
      <c r="H217" s="27" t="str">
        <f t="array" ref="H217">IFERROR(SUM(IF(FREQUENCY(IF(RawData!$D$2:$D$50000=Home!E217,MATCH(RawData!$H$2:$H$50000,RawData!$H$2:$H$50000,0)),ROW(RawData!$D$2:$D$50000)-ROW(RawData!$D$2)+1),RawData!$J$2:$J$50000)),"")</f>
        <v/>
      </c>
    </row>
    <row r="218" spans="5:8" x14ac:dyDescent="0.2">
      <c r="E218" s="28"/>
      <c r="F218" s="25" t="str">
        <f>IF(E218="","",SUMIFS(RawData!$M$2:$M$50000,RawData!$B$2:$B$50000,"="&amp;Home!$A$5,RawData!$D$2:$D$50000,"="&amp;Home!$E218))</f>
        <v/>
      </c>
      <c r="G218" s="26" t="str">
        <f>IF(E218="","",SUMIFS(RawData!$N$2:$N$50000,RawData!$B$2:$B$50000,"="&amp;Home!$A$5,RawData!$D$2:$D$50000,"="&amp;Home!$E218))</f>
        <v/>
      </c>
      <c r="H218" s="27" t="str">
        <f t="array" ref="H218">IFERROR(SUM(IF(FREQUENCY(IF(RawData!$D$2:$D$50000=Home!E218,MATCH(RawData!$H$2:$H$50000,RawData!$H$2:$H$50000,0)),ROW(RawData!$D$2:$D$50000)-ROW(RawData!$D$2)+1),RawData!$J$2:$J$50000)),"")</f>
        <v/>
      </c>
    </row>
    <row r="219" spans="5:8" x14ac:dyDescent="0.2">
      <c r="E219" s="28"/>
      <c r="F219" s="25" t="str">
        <f>IF(E219="","",SUMIFS(RawData!$M$2:$M$50000,RawData!$B$2:$B$50000,"="&amp;Home!$A$5,RawData!$D$2:$D$50000,"="&amp;Home!$E219))</f>
        <v/>
      </c>
      <c r="G219" s="26" t="str">
        <f>IF(E219="","",SUMIFS(RawData!$N$2:$N$50000,RawData!$B$2:$B$50000,"="&amp;Home!$A$5,RawData!$D$2:$D$50000,"="&amp;Home!$E219))</f>
        <v/>
      </c>
      <c r="H219" s="27" t="str">
        <f t="array" ref="H219">IFERROR(SUM(IF(FREQUENCY(IF(RawData!$D$2:$D$50000=Home!E219,MATCH(RawData!$H$2:$H$50000,RawData!$H$2:$H$50000,0)),ROW(RawData!$D$2:$D$50000)-ROW(RawData!$D$2)+1),RawData!$J$2:$J$50000)),"")</f>
        <v/>
      </c>
    </row>
    <row r="220" spans="5:8" x14ac:dyDescent="0.2">
      <c r="E220" s="28"/>
      <c r="F220" s="25" t="str">
        <f>IF(E220="","",SUMIFS(RawData!$M$2:$M$50000,RawData!$B$2:$B$50000,"="&amp;Home!$A$5,RawData!$D$2:$D$50000,"="&amp;Home!$E220))</f>
        <v/>
      </c>
      <c r="G220" s="26" t="str">
        <f>IF(E220="","",SUMIFS(RawData!$N$2:$N$50000,RawData!$B$2:$B$50000,"="&amp;Home!$A$5,RawData!$D$2:$D$50000,"="&amp;Home!$E220))</f>
        <v/>
      </c>
      <c r="H220" s="27" t="str">
        <f t="array" ref="H220">IFERROR(SUM(IF(FREQUENCY(IF(RawData!$D$2:$D$50000=Home!E220,MATCH(RawData!$H$2:$H$50000,RawData!$H$2:$H$50000,0)),ROW(RawData!$D$2:$D$50000)-ROW(RawData!$D$2)+1),RawData!$J$2:$J$50000)),"")</f>
        <v/>
      </c>
    </row>
    <row r="221" spans="5:8" x14ac:dyDescent="0.2">
      <c r="E221" s="28"/>
      <c r="F221" s="25" t="str">
        <f>IF(E221="","",SUMIFS(RawData!$M$2:$M$50000,RawData!$B$2:$B$50000,"="&amp;Home!$A$5,RawData!$D$2:$D$50000,"="&amp;Home!$E221))</f>
        <v/>
      </c>
      <c r="G221" s="26" t="str">
        <f>IF(E221="","",SUMIFS(RawData!$N$2:$N$50000,RawData!$B$2:$B$50000,"="&amp;Home!$A$5,RawData!$D$2:$D$50000,"="&amp;Home!$E221))</f>
        <v/>
      </c>
      <c r="H221" s="27" t="str">
        <f t="array" ref="H221">IFERROR(SUM(IF(FREQUENCY(IF(RawData!$D$2:$D$50000=Home!E221,MATCH(RawData!$H$2:$H$50000,RawData!$H$2:$H$50000,0)),ROW(RawData!$D$2:$D$50000)-ROW(RawData!$D$2)+1),RawData!$J$2:$J$50000)),"")</f>
        <v/>
      </c>
    </row>
    <row r="222" spans="5:8" x14ac:dyDescent="0.2">
      <c r="E222" s="28"/>
      <c r="F222" s="25" t="str">
        <f>IF(E222="","",SUMIFS(RawData!$M$2:$M$50000,RawData!$B$2:$B$50000,"="&amp;Home!$A$5,RawData!$D$2:$D$50000,"="&amp;Home!$E222))</f>
        <v/>
      </c>
      <c r="G222" s="26" t="str">
        <f>IF(E222="","",SUMIFS(RawData!$N$2:$N$50000,RawData!$B$2:$B$50000,"="&amp;Home!$A$5,RawData!$D$2:$D$50000,"="&amp;Home!$E222))</f>
        <v/>
      </c>
      <c r="H222" s="27" t="str">
        <f t="array" ref="H222">IFERROR(SUM(IF(FREQUENCY(IF(RawData!$D$2:$D$50000=Home!E222,MATCH(RawData!$H$2:$H$50000,RawData!$H$2:$H$50000,0)),ROW(RawData!$D$2:$D$50000)-ROW(RawData!$D$2)+1),RawData!$J$2:$J$50000)),"")</f>
        <v/>
      </c>
    </row>
    <row r="223" spans="5:8" x14ac:dyDescent="0.2">
      <c r="E223" s="28"/>
      <c r="F223" s="25" t="str">
        <f>IF(E223="","",SUMIFS(RawData!$M$2:$M$50000,RawData!$B$2:$B$50000,"="&amp;Home!$A$5,RawData!$D$2:$D$50000,"="&amp;Home!$E223))</f>
        <v/>
      </c>
      <c r="G223" s="26" t="str">
        <f>IF(E223="","",SUMIFS(RawData!$N$2:$N$50000,RawData!$B$2:$B$50000,"="&amp;Home!$A$5,RawData!$D$2:$D$50000,"="&amp;Home!$E223))</f>
        <v/>
      </c>
      <c r="H223" s="27" t="str">
        <f t="array" ref="H223">IFERROR(SUM(IF(FREQUENCY(IF(RawData!$D$2:$D$50000=Home!E223,MATCH(RawData!$H$2:$H$50000,RawData!$H$2:$H$50000,0)),ROW(RawData!$D$2:$D$50000)-ROW(RawData!$D$2)+1),RawData!$J$2:$J$50000)),"")</f>
        <v/>
      </c>
    </row>
    <row r="224" spans="5:8" x14ac:dyDescent="0.2">
      <c r="E224" s="28"/>
      <c r="F224" s="25" t="str">
        <f>IF(E224="","",SUMIFS(RawData!$M$2:$M$50000,RawData!$B$2:$B$50000,"="&amp;Home!$A$5,RawData!$D$2:$D$50000,"="&amp;Home!$E224))</f>
        <v/>
      </c>
      <c r="G224" s="26" t="str">
        <f>IF(E224="","",SUMIFS(RawData!$N$2:$N$50000,RawData!$B$2:$B$50000,"="&amp;Home!$A$5,RawData!$D$2:$D$50000,"="&amp;Home!$E224))</f>
        <v/>
      </c>
      <c r="H224" s="27" t="str">
        <f t="array" ref="H224">IFERROR(SUM(IF(FREQUENCY(IF(RawData!$D$2:$D$50000=Home!E224,MATCH(RawData!$H$2:$H$50000,RawData!$H$2:$H$50000,0)),ROW(RawData!$D$2:$D$50000)-ROW(RawData!$D$2)+1),RawData!$J$2:$J$50000)),"")</f>
        <v/>
      </c>
    </row>
    <row r="225" spans="5:8" x14ac:dyDescent="0.2">
      <c r="E225" s="28"/>
      <c r="F225" s="25" t="str">
        <f>IF(E225="","",SUMIFS(RawData!$M$2:$M$50000,RawData!$B$2:$B$50000,"="&amp;Home!$A$5,RawData!$D$2:$D$50000,"="&amp;Home!$E225))</f>
        <v/>
      </c>
      <c r="G225" s="26" t="str">
        <f>IF(E225="","",SUMIFS(RawData!$N$2:$N$50000,RawData!$B$2:$B$50000,"="&amp;Home!$A$5,RawData!$D$2:$D$50000,"="&amp;Home!$E225))</f>
        <v/>
      </c>
      <c r="H225" s="27" t="str">
        <f t="array" ref="H225">IFERROR(SUM(IF(FREQUENCY(IF(RawData!$D$2:$D$50000=Home!E225,MATCH(RawData!$H$2:$H$50000,RawData!$H$2:$H$50000,0)),ROW(RawData!$D$2:$D$50000)-ROW(RawData!$D$2)+1),RawData!$J$2:$J$50000)),"")</f>
        <v/>
      </c>
    </row>
    <row r="226" spans="5:8" x14ac:dyDescent="0.2">
      <c r="E226" s="28"/>
      <c r="F226" s="25" t="str">
        <f>IF(E226="","",SUMIFS(RawData!$M$2:$M$50000,RawData!$B$2:$B$50000,"="&amp;Home!$A$5,RawData!$D$2:$D$50000,"="&amp;Home!$E226))</f>
        <v/>
      </c>
      <c r="G226" s="26" t="str">
        <f>IF(E226="","",SUMIFS(RawData!$N$2:$N$50000,RawData!$B$2:$B$50000,"="&amp;Home!$A$5,RawData!$D$2:$D$50000,"="&amp;Home!$E226))</f>
        <v/>
      </c>
      <c r="H226" s="27" t="str">
        <f t="array" ref="H226">IFERROR(SUM(IF(FREQUENCY(IF(RawData!$D$2:$D$50000=Home!E226,MATCH(RawData!$H$2:$H$50000,RawData!$H$2:$H$50000,0)),ROW(RawData!$D$2:$D$50000)-ROW(RawData!$D$2)+1),RawData!$J$2:$J$50000)),"")</f>
        <v/>
      </c>
    </row>
    <row r="227" spans="5:8" x14ac:dyDescent="0.2">
      <c r="E227" s="28"/>
      <c r="F227" s="25" t="str">
        <f>IF(E227="","",SUMIFS(RawData!$M$2:$M$50000,RawData!$B$2:$B$50000,"="&amp;Home!$A$5,RawData!$D$2:$D$50000,"="&amp;Home!$E227))</f>
        <v/>
      </c>
      <c r="G227" s="26" t="str">
        <f>IF(E227="","",SUMIFS(RawData!$N$2:$N$50000,RawData!$B$2:$B$50000,"="&amp;Home!$A$5,RawData!$D$2:$D$50000,"="&amp;Home!$E227))</f>
        <v/>
      </c>
      <c r="H227" s="27" t="str">
        <f t="array" ref="H227">IFERROR(SUM(IF(FREQUENCY(IF(RawData!$D$2:$D$50000=Home!E227,MATCH(RawData!$H$2:$H$50000,RawData!$H$2:$H$50000,0)),ROW(RawData!$D$2:$D$50000)-ROW(RawData!$D$2)+1),RawData!$J$2:$J$50000)),"")</f>
        <v/>
      </c>
    </row>
    <row r="228" spans="5:8" x14ac:dyDescent="0.2">
      <c r="E228" s="28"/>
      <c r="F228" s="25" t="str">
        <f>IF(E228="","",SUMIFS(RawData!$M$2:$M$50000,RawData!$B$2:$B$50000,"="&amp;Home!$A$5,RawData!$D$2:$D$50000,"="&amp;Home!$E228))</f>
        <v/>
      </c>
      <c r="G228" s="26" t="str">
        <f>IF(E228="","",SUMIFS(RawData!$N$2:$N$50000,RawData!$B$2:$B$50000,"="&amp;Home!$A$5,RawData!$D$2:$D$50000,"="&amp;Home!$E228))</f>
        <v/>
      </c>
      <c r="H228" s="27" t="str">
        <f t="array" ref="H228">IFERROR(SUM(IF(FREQUENCY(IF(RawData!$D$2:$D$50000=Home!E228,MATCH(RawData!$H$2:$H$50000,RawData!$H$2:$H$50000,0)),ROW(RawData!$D$2:$D$50000)-ROW(RawData!$D$2)+1),RawData!$J$2:$J$50000)),"")</f>
        <v/>
      </c>
    </row>
    <row r="229" spans="5:8" x14ac:dyDescent="0.2">
      <c r="E229" s="28"/>
      <c r="F229" s="25" t="str">
        <f>IF(E229="","",SUMIFS(RawData!$M$2:$M$50000,RawData!$B$2:$B$50000,"="&amp;Home!$A$5,RawData!$D$2:$D$50000,"="&amp;Home!$E229))</f>
        <v/>
      </c>
      <c r="G229" s="26" t="str">
        <f>IF(E229="","",SUMIFS(RawData!$N$2:$N$50000,RawData!$B$2:$B$50000,"="&amp;Home!$A$5,RawData!$D$2:$D$50000,"="&amp;Home!$E229))</f>
        <v/>
      </c>
      <c r="H229" s="27" t="str">
        <f t="array" ref="H229">IFERROR(SUM(IF(FREQUENCY(IF(RawData!$D$2:$D$50000=Home!E229,MATCH(RawData!$H$2:$H$50000,RawData!$H$2:$H$50000,0)),ROW(RawData!$D$2:$D$50000)-ROW(RawData!$D$2)+1),RawData!$J$2:$J$50000)),"")</f>
        <v/>
      </c>
    </row>
    <row r="230" spans="5:8" x14ac:dyDescent="0.2">
      <c r="E230" s="28"/>
      <c r="F230" s="25" t="str">
        <f>IF(E230="","",SUMIFS(RawData!$M$2:$M$50000,RawData!$B$2:$B$50000,"="&amp;Home!$A$5,RawData!$D$2:$D$50000,"="&amp;Home!$E230))</f>
        <v/>
      </c>
      <c r="G230" s="26" t="str">
        <f>IF(E230="","",SUMIFS(RawData!$N$2:$N$50000,RawData!$B$2:$B$50000,"="&amp;Home!$A$5,RawData!$D$2:$D$50000,"="&amp;Home!$E230))</f>
        <v/>
      </c>
      <c r="H230" s="27" t="str">
        <f t="array" ref="H230">IFERROR(SUM(IF(FREQUENCY(IF(RawData!$D$2:$D$50000=Home!E230,MATCH(RawData!$H$2:$H$50000,RawData!$H$2:$H$50000,0)),ROW(RawData!$D$2:$D$50000)-ROW(RawData!$D$2)+1),RawData!$J$2:$J$50000)),"")</f>
        <v/>
      </c>
    </row>
    <row r="231" spans="5:8" x14ac:dyDescent="0.2">
      <c r="E231" s="28"/>
      <c r="F231" s="25" t="str">
        <f>IF(E231="","",SUMIFS(RawData!$M$2:$M$50000,RawData!$B$2:$B$50000,"="&amp;Home!$A$5,RawData!$D$2:$D$50000,"="&amp;Home!$E231))</f>
        <v/>
      </c>
      <c r="G231" s="26" t="str">
        <f>IF(E231="","",SUMIFS(RawData!$N$2:$N$50000,RawData!$B$2:$B$50000,"="&amp;Home!$A$5,RawData!$D$2:$D$50000,"="&amp;Home!$E231))</f>
        <v/>
      </c>
      <c r="H231" s="27" t="str">
        <f t="array" ref="H231">IFERROR(SUM(IF(FREQUENCY(IF(RawData!$D$2:$D$50000=Home!E231,MATCH(RawData!$H$2:$H$50000,RawData!$H$2:$H$50000,0)),ROW(RawData!$D$2:$D$50000)-ROW(RawData!$D$2)+1),RawData!$J$2:$J$50000)),"")</f>
        <v/>
      </c>
    </row>
    <row r="232" spans="5:8" x14ac:dyDescent="0.2">
      <c r="E232" s="28"/>
      <c r="F232" s="25" t="str">
        <f>IF(E232="","",SUMIFS(RawData!$M$2:$M$50000,RawData!$B$2:$B$50000,"="&amp;Home!$A$5,RawData!$D$2:$D$50000,"="&amp;Home!$E232))</f>
        <v/>
      </c>
      <c r="G232" s="26" t="str">
        <f>IF(E232="","",SUMIFS(RawData!$N$2:$N$50000,RawData!$B$2:$B$50000,"="&amp;Home!$A$5,RawData!$D$2:$D$50000,"="&amp;Home!$E232))</f>
        <v/>
      </c>
      <c r="H232" s="27" t="str">
        <f t="array" ref="H232">IFERROR(SUM(IF(FREQUENCY(IF(RawData!$D$2:$D$50000=Home!E232,MATCH(RawData!$H$2:$H$50000,RawData!$H$2:$H$50000,0)),ROW(RawData!$D$2:$D$50000)-ROW(RawData!$D$2)+1),RawData!$J$2:$J$50000)),"")</f>
        <v/>
      </c>
    </row>
    <row r="233" spans="5:8" x14ac:dyDescent="0.2">
      <c r="E233" s="28"/>
      <c r="F233" s="25" t="str">
        <f>IF(E233="","",SUMIFS(RawData!$M$2:$M$50000,RawData!$B$2:$B$50000,"="&amp;Home!$A$5,RawData!$D$2:$D$50000,"="&amp;Home!$E233))</f>
        <v/>
      </c>
      <c r="G233" s="26" t="str">
        <f>IF(E233="","",SUMIFS(RawData!$N$2:$N$50000,RawData!$B$2:$B$50000,"="&amp;Home!$A$5,RawData!$D$2:$D$50000,"="&amp;Home!$E233))</f>
        <v/>
      </c>
      <c r="H233" s="27" t="str">
        <f t="array" ref="H233">IFERROR(SUM(IF(FREQUENCY(IF(RawData!$D$2:$D$50000=Home!E233,MATCH(RawData!$H$2:$H$50000,RawData!$H$2:$H$50000,0)),ROW(RawData!$D$2:$D$50000)-ROW(RawData!$D$2)+1),RawData!$J$2:$J$50000)),"")</f>
        <v/>
      </c>
    </row>
    <row r="234" spans="5:8" x14ac:dyDescent="0.2">
      <c r="E234" s="28"/>
      <c r="F234" s="25" t="str">
        <f>IF(E234="","",SUMIFS(RawData!$M$2:$M$50000,RawData!$B$2:$B$50000,"="&amp;Home!$A$5,RawData!$D$2:$D$50000,"="&amp;Home!$E234))</f>
        <v/>
      </c>
      <c r="G234" s="26" t="str">
        <f>IF(E234="","",SUMIFS(RawData!$N$2:$N$50000,RawData!$B$2:$B$50000,"="&amp;Home!$A$5,RawData!$D$2:$D$50000,"="&amp;Home!$E234))</f>
        <v/>
      </c>
      <c r="H234" s="27" t="str">
        <f t="array" ref="H234">IFERROR(SUM(IF(FREQUENCY(IF(RawData!$D$2:$D$50000=Home!E234,MATCH(RawData!$H$2:$H$50000,RawData!$H$2:$H$50000,0)),ROW(RawData!$D$2:$D$50000)-ROW(RawData!$D$2)+1),RawData!$J$2:$J$50000)),"")</f>
        <v/>
      </c>
    </row>
    <row r="235" spans="5:8" x14ac:dyDescent="0.2">
      <c r="E235" s="28"/>
      <c r="F235" s="25" t="str">
        <f>IF(E235="","",SUMIFS(RawData!$M$2:$M$50000,RawData!$B$2:$B$50000,"="&amp;Home!$A$5,RawData!$D$2:$D$50000,"="&amp;Home!$E235))</f>
        <v/>
      </c>
      <c r="G235" s="26" t="str">
        <f>IF(E235="","",SUMIFS(RawData!$N$2:$N$50000,RawData!$B$2:$B$50000,"="&amp;Home!$A$5,RawData!$D$2:$D$50000,"="&amp;Home!$E235))</f>
        <v/>
      </c>
      <c r="H235" s="27" t="str">
        <f t="array" ref="H235">IFERROR(SUM(IF(FREQUENCY(IF(RawData!$D$2:$D$50000=Home!E235,MATCH(RawData!$H$2:$H$50000,RawData!$H$2:$H$50000,0)),ROW(RawData!$D$2:$D$50000)-ROW(RawData!$D$2)+1),RawData!$J$2:$J$50000)),"")</f>
        <v/>
      </c>
    </row>
    <row r="236" spans="5:8" x14ac:dyDescent="0.2">
      <c r="E236" s="28"/>
      <c r="F236" s="25" t="str">
        <f>IF(E236="","",SUMIFS(RawData!$M$2:$M$50000,RawData!$B$2:$B$50000,"="&amp;Home!$A$5,RawData!$D$2:$D$50000,"="&amp;Home!$E236))</f>
        <v/>
      </c>
      <c r="G236" s="26" t="str">
        <f>IF(E236="","",SUMIFS(RawData!$N$2:$N$50000,RawData!$B$2:$B$50000,"="&amp;Home!$A$5,RawData!$D$2:$D$50000,"="&amp;Home!$E236))</f>
        <v/>
      </c>
      <c r="H236" s="27" t="str">
        <f t="array" ref="H236">IFERROR(SUM(IF(FREQUENCY(IF(RawData!$D$2:$D$50000=Home!E236,MATCH(RawData!$H$2:$H$50000,RawData!$H$2:$H$50000,0)),ROW(RawData!$D$2:$D$50000)-ROW(RawData!$D$2)+1),RawData!$J$2:$J$50000)),"")</f>
        <v/>
      </c>
    </row>
    <row r="237" spans="5:8" x14ac:dyDescent="0.2">
      <c r="E237" s="28"/>
      <c r="F237" s="25" t="str">
        <f>IF(E237="","",SUMIFS(RawData!$M$2:$M$50000,RawData!$B$2:$B$50000,"="&amp;Home!$A$5,RawData!$D$2:$D$50000,"="&amp;Home!$E237))</f>
        <v/>
      </c>
      <c r="G237" s="26" t="str">
        <f>IF(E237="","",SUMIFS(RawData!$N$2:$N$50000,RawData!$B$2:$B$50000,"="&amp;Home!$A$5,RawData!$D$2:$D$50000,"="&amp;Home!$E237))</f>
        <v/>
      </c>
      <c r="H237" s="27" t="str">
        <f t="array" ref="H237">IFERROR(SUM(IF(FREQUENCY(IF(RawData!$D$2:$D$50000=Home!E237,MATCH(RawData!$H$2:$H$50000,RawData!$H$2:$H$50000,0)),ROW(RawData!$D$2:$D$50000)-ROW(RawData!$D$2)+1),RawData!$J$2:$J$50000)),"")</f>
        <v/>
      </c>
    </row>
    <row r="238" spans="5:8" x14ac:dyDescent="0.2">
      <c r="E238" s="28"/>
      <c r="F238" s="25" t="str">
        <f>IF(E238="","",SUMIFS(RawData!$M$2:$M$50000,RawData!$B$2:$B$50000,"="&amp;Home!$A$5,RawData!$D$2:$D$50000,"="&amp;Home!$E238))</f>
        <v/>
      </c>
      <c r="G238" s="26" t="str">
        <f>IF(E238="","",SUMIFS(RawData!$N$2:$N$50000,RawData!$B$2:$B$50000,"="&amp;Home!$A$5,RawData!$D$2:$D$50000,"="&amp;Home!$E238))</f>
        <v/>
      </c>
      <c r="H238" s="27" t="str">
        <f t="array" ref="H238">IFERROR(SUM(IF(FREQUENCY(IF(RawData!$D$2:$D$50000=Home!E238,MATCH(RawData!$H$2:$H$50000,RawData!$H$2:$H$50000,0)),ROW(RawData!$D$2:$D$50000)-ROW(RawData!$D$2)+1),RawData!$J$2:$J$50000)),"")</f>
        <v/>
      </c>
    </row>
    <row r="239" spans="5:8" x14ac:dyDescent="0.2">
      <c r="E239" s="28"/>
      <c r="F239" s="25" t="str">
        <f>IF(E239="","",SUMIFS(RawData!$M$2:$M$50000,RawData!$B$2:$B$50000,"="&amp;Home!$A$5,RawData!$D$2:$D$50000,"="&amp;Home!$E239))</f>
        <v/>
      </c>
      <c r="G239" s="26" t="str">
        <f>IF(E239="","",SUMIFS(RawData!$N$2:$N$50000,RawData!$B$2:$B$50000,"="&amp;Home!$A$5,RawData!$D$2:$D$50000,"="&amp;Home!$E239))</f>
        <v/>
      </c>
      <c r="H239" s="27" t="str">
        <f t="array" ref="H239">IFERROR(SUM(IF(FREQUENCY(IF(RawData!$D$2:$D$50000=Home!E239,MATCH(RawData!$H$2:$H$50000,RawData!$H$2:$H$50000,0)),ROW(RawData!$D$2:$D$50000)-ROW(RawData!$D$2)+1),RawData!$J$2:$J$50000)),"")</f>
        <v/>
      </c>
    </row>
    <row r="240" spans="5:8" x14ac:dyDescent="0.2">
      <c r="E240" s="28"/>
      <c r="F240" s="25" t="str">
        <f>IF(E240="","",SUMIFS(RawData!$M$2:$M$50000,RawData!$B$2:$B$50000,"="&amp;Home!$A$5,RawData!$D$2:$D$50000,"="&amp;Home!$E240))</f>
        <v/>
      </c>
      <c r="G240" s="26" t="str">
        <f>IF(E240="","",SUMIFS(RawData!$N$2:$N$50000,RawData!$B$2:$B$50000,"="&amp;Home!$A$5,RawData!$D$2:$D$50000,"="&amp;Home!$E240))</f>
        <v/>
      </c>
      <c r="H240" s="27" t="str">
        <f t="array" ref="H240">IFERROR(SUM(IF(FREQUENCY(IF(RawData!$D$2:$D$50000=Home!E240,MATCH(RawData!$H$2:$H$50000,RawData!$H$2:$H$50000,0)),ROW(RawData!$D$2:$D$50000)-ROW(RawData!$D$2)+1),RawData!$J$2:$J$50000)),"")</f>
        <v/>
      </c>
    </row>
    <row r="241" spans="5:8" x14ac:dyDescent="0.2">
      <c r="E241" s="28"/>
      <c r="F241" s="25" t="str">
        <f>IF(E241="","",SUMIFS(RawData!$M$2:$M$50000,RawData!$B$2:$B$50000,"="&amp;Home!$A$5,RawData!$D$2:$D$50000,"="&amp;Home!$E241))</f>
        <v/>
      </c>
      <c r="G241" s="26" t="str">
        <f>IF(E241="","",SUMIFS(RawData!$N$2:$N$50000,RawData!$B$2:$B$50000,"="&amp;Home!$A$5,RawData!$D$2:$D$50000,"="&amp;Home!$E241))</f>
        <v/>
      </c>
      <c r="H241" s="27" t="str">
        <f t="array" ref="H241">IFERROR(SUM(IF(FREQUENCY(IF(RawData!$D$2:$D$50000=Home!E241,MATCH(RawData!$H$2:$H$50000,RawData!$H$2:$H$50000,0)),ROW(RawData!$D$2:$D$50000)-ROW(RawData!$D$2)+1),RawData!$J$2:$J$50000)),"")</f>
        <v/>
      </c>
    </row>
    <row r="242" spans="5:8" x14ac:dyDescent="0.2">
      <c r="E242" s="28"/>
      <c r="F242" s="25" t="str">
        <f>IF(E242="","",SUMIFS(RawData!$M$2:$M$50000,RawData!$B$2:$B$50000,"="&amp;Home!$A$5,RawData!$D$2:$D$50000,"="&amp;Home!$E242))</f>
        <v/>
      </c>
      <c r="G242" s="26" t="str">
        <f>IF(E242="","",SUMIFS(RawData!$N$2:$N$50000,RawData!$B$2:$B$50000,"="&amp;Home!$A$5,RawData!$D$2:$D$50000,"="&amp;Home!$E242))</f>
        <v/>
      </c>
      <c r="H242" s="27" t="str">
        <f t="array" ref="H242">IFERROR(SUM(IF(FREQUENCY(IF(RawData!$D$2:$D$50000=Home!E242,MATCH(RawData!$H$2:$H$50000,RawData!$H$2:$H$50000,0)),ROW(RawData!$D$2:$D$50000)-ROW(RawData!$D$2)+1),RawData!$J$2:$J$50000)),"")</f>
        <v/>
      </c>
    </row>
    <row r="243" spans="5:8" x14ac:dyDescent="0.2">
      <c r="E243" s="28"/>
      <c r="F243" s="25" t="str">
        <f>IF(E243="","",SUMIFS(RawData!$M$2:$M$50000,RawData!$B$2:$B$50000,"="&amp;Home!$A$5,RawData!$D$2:$D$50000,"="&amp;Home!$E243))</f>
        <v/>
      </c>
      <c r="G243" s="26" t="str">
        <f>IF(E243="","",SUMIFS(RawData!$N$2:$N$50000,RawData!$B$2:$B$50000,"="&amp;Home!$A$5,RawData!$D$2:$D$50000,"="&amp;Home!$E243))</f>
        <v/>
      </c>
      <c r="H243" s="27" t="str">
        <f t="array" ref="H243">IFERROR(SUM(IF(FREQUENCY(IF(RawData!$D$2:$D$50000=Home!E243,MATCH(RawData!$H$2:$H$50000,RawData!$H$2:$H$50000,0)),ROW(RawData!$D$2:$D$50000)-ROW(RawData!$D$2)+1),RawData!$J$2:$J$50000)),"")</f>
        <v/>
      </c>
    </row>
    <row r="244" spans="5:8" x14ac:dyDescent="0.2">
      <c r="E244" s="28"/>
      <c r="F244" s="25" t="str">
        <f>IF(E244="","",SUMIFS(RawData!$M$2:$M$50000,RawData!$B$2:$B$50000,"="&amp;Home!$A$5,RawData!$D$2:$D$50000,"="&amp;Home!$E244))</f>
        <v/>
      </c>
      <c r="G244" s="26" t="str">
        <f>IF(E244="","",SUMIFS(RawData!$N$2:$N$50000,RawData!$B$2:$B$50000,"="&amp;Home!$A$5,RawData!$D$2:$D$50000,"="&amp;Home!$E244))</f>
        <v/>
      </c>
      <c r="H244" s="27" t="str">
        <f t="array" ref="H244">IFERROR(SUM(IF(FREQUENCY(IF(RawData!$D$2:$D$50000=Home!E244,MATCH(RawData!$H$2:$H$50000,RawData!$H$2:$H$50000,0)),ROW(RawData!$D$2:$D$50000)-ROW(RawData!$D$2)+1),RawData!$J$2:$J$50000)),"")</f>
        <v/>
      </c>
    </row>
    <row r="245" spans="5:8" x14ac:dyDescent="0.2">
      <c r="E245" s="28"/>
      <c r="F245" s="25" t="str">
        <f>IF(E245="","",SUMIFS(RawData!$M$2:$M$50000,RawData!$B$2:$B$50000,"="&amp;Home!$A$5,RawData!$D$2:$D$50000,"="&amp;Home!$E245))</f>
        <v/>
      </c>
      <c r="G245" s="26" t="str">
        <f>IF(E245="","",SUMIFS(RawData!$N$2:$N$50000,RawData!$B$2:$B$50000,"="&amp;Home!$A$5,RawData!$D$2:$D$50000,"="&amp;Home!$E245))</f>
        <v/>
      </c>
      <c r="H245" s="27" t="str">
        <f t="array" ref="H245">IFERROR(SUM(IF(FREQUENCY(IF(RawData!$D$2:$D$50000=Home!E245,MATCH(RawData!$H$2:$H$50000,RawData!$H$2:$H$50000,0)),ROW(RawData!$D$2:$D$50000)-ROW(RawData!$D$2)+1),RawData!$J$2:$J$50000)),"")</f>
        <v/>
      </c>
    </row>
    <row r="246" spans="5:8" x14ac:dyDescent="0.2">
      <c r="E246" s="28"/>
      <c r="F246" s="25" t="str">
        <f>IF(E246="","",SUMIFS(RawData!$M$2:$M$50000,RawData!$B$2:$B$50000,"="&amp;Home!$A$5,RawData!$D$2:$D$50000,"="&amp;Home!$E246))</f>
        <v/>
      </c>
      <c r="G246" s="26" t="str">
        <f>IF(E246="","",SUMIFS(RawData!$N$2:$N$50000,RawData!$B$2:$B$50000,"="&amp;Home!$A$5,RawData!$D$2:$D$50000,"="&amp;Home!$E246))</f>
        <v/>
      </c>
      <c r="H246" s="27" t="str">
        <f t="array" ref="H246">IFERROR(SUM(IF(FREQUENCY(IF(RawData!$D$2:$D$50000=Home!E246,MATCH(RawData!$H$2:$H$50000,RawData!$H$2:$H$50000,0)),ROW(RawData!$D$2:$D$50000)-ROW(RawData!$D$2)+1),RawData!$J$2:$J$50000)),"")</f>
        <v/>
      </c>
    </row>
    <row r="247" spans="5:8" x14ac:dyDescent="0.2">
      <c r="E247" s="28"/>
      <c r="F247" s="25" t="str">
        <f>IF(E247="","",SUMIFS(RawData!$M$2:$M$50000,RawData!$B$2:$B$50000,"="&amp;Home!$A$5,RawData!$D$2:$D$50000,"="&amp;Home!$E247))</f>
        <v/>
      </c>
      <c r="G247" s="26" t="str">
        <f>IF(E247="","",SUMIFS(RawData!$N$2:$N$50000,RawData!$B$2:$B$50000,"="&amp;Home!$A$5,RawData!$D$2:$D$50000,"="&amp;Home!$E247))</f>
        <v/>
      </c>
      <c r="H247" s="27" t="str">
        <f t="array" ref="H247">IFERROR(SUM(IF(FREQUENCY(IF(RawData!$D$2:$D$50000=Home!E247,MATCH(RawData!$H$2:$H$50000,RawData!$H$2:$H$50000,0)),ROW(RawData!$D$2:$D$50000)-ROW(RawData!$D$2)+1),RawData!$J$2:$J$50000)),"")</f>
        <v/>
      </c>
    </row>
    <row r="248" spans="5:8" x14ac:dyDescent="0.2">
      <c r="E248" s="28"/>
      <c r="F248" s="25" t="str">
        <f>IF(E248="","",SUMIFS(RawData!$M$2:$M$50000,RawData!$B$2:$B$50000,"="&amp;Home!$A$5,RawData!$D$2:$D$50000,"="&amp;Home!$E248))</f>
        <v/>
      </c>
      <c r="G248" s="26" t="str">
        <f>IF(E248="","",SUMIFS(RawData!$N$2:$N$50000,RawData!$B$2:$B$50000,"="&amp;Home!$A$5,RawData!$D$2:$D$50000,"="&amp;Home!$E248))</f>
        <v/>
      </c>
      <c r="H248" s="27" t="str">
        <f t="array" ref="H248">IFERROR(SUM(IF(FREQUENCY(IF(RawData!$D$2:$D$50000=Home!E248,MATCH(RawData!$H$2:$H$50000,RawData!$H$2:$H$50000,0)),ROW(RawData!$D$2:$D$50000)-ROW(RawData!$D$2)+1),RawData!$J$2:$J$50000)),"")</f>
        <v/>
      </c>
    </row>
    <row r="249" spans="5:8" x14ac:dyDescent="0.2">
      <c r="E249" s="28"/>
      <c r="F249" s="25" t="str">
        <f>IF(E249="","",SUMIFS(RawData!$M$2:$M$50000,RawData!$B$2:$B$50000,"="&amp;Home!$A$5,RawData!$D$2:$D$50000,"="&amp;Home!$E249))</f>
        <v/>
      </c>
      <c r="G249" s="26" t="str">
        <f>IF(E249="","",SUMIFS(RawData!$N$2:$N$50000,RawData!$B$2:$B$50000,"="&amp;Home!$A$5,RawData!$D$2:$D$50000,"="&amp;Home!$E249))</f>
        <v/>
      </c>
      <c r="H249" s="27" t="str">
        <f t="array" ref="H249">IFERROR(SUM(IF(FREQUENCY(IF(RawData!$D$2:$D$50000=Home!E249,MATCH(RawData!$H$2:$H$50000,RawData!$H$2:$H$50000,0)),ROW(RawData!$D$2:$D$50000)-ROW(RawData!$D$2)+1),RawData!$J$2:$J$50000)),"")</f>
        <v/>
      </c>
    </row>
    <row r="250" spans="5:8" x14ac:dyDescent="0.2">
      <c r="E250" s="28"/>
      <c r="F250" s="25" t="str">
        <f>IF(E250="","",SUMIFS(RawData!$M$2:$M$50000,RawData!$B$2:$B$50000,"="&amp;Home!$A$5,RawData!$D$2:$D$50000,"="&amp;Home!$E250))</f>
        <v/>
      </c>
      <c r="G250" s="26" t="str">
        <f>IF(E250="","",SUMIFS(RawData!$N$2:$N$50000,RawData!$B$2:$B$50000,"="&amp;Home!$A$5,RawData!$D$2:$D$50000,"="&amp;Home!$E250))</f>
        <v/>
      </c>
      <c r="H250" s="27" t="str">
        <f t="array" ref="H250">IFERROR(SUM(IF(FREQUENCY(IF(RawData!$D$2:$D$50000=Home!E250,MATCH(RawData!$H$2:$H$50000,RawData!$H$2:$H$50000,0)),ROW(RawData!$D$2:$D$50000)-ROW(RawData!$D$2)+1),RawData!$J$2:$J$50000)),"")</f>
        <v/>
      </c>
    </row>
    <row r="251" spans="5:8" x14ac:dyDescent="0.2">
      <c r="E251" s="28"/>
      <c r="F251" s="25" t="str">
        <f>IF(E251="","",SUMIFS(RawData!$M$2:$M$50000,RawData!$B$2:$B$50000,"="&amp;Home!$A$5,RawData!$D$2:$D$50000,"="&amp;Home!$E251))</f>
        <v/>
      </c>
      <c r="G251" s="26" t="str">
        <f>IF(E251="","",SUMIFS(RawData!$N$2:$N$50000,RawData!$B$2:$B$50000,"="&amp;Home!$A$5,RawData!$D$2:$D$50000,"="&amp;Home!$E251))</f>
        <v/>
      </c>
      <c r="H251" s="27" t="str">
        <f t="array" ref="H251">IFERROR(SUM(IF(FREQUENCY(IF(RawData!$D$2:$D$50000=Home!E251,MATCH(RawData!$H$2:$H$50000,RawData!$H$2:$H$50000,0)),ROW(RawData!$D$2:$D$50000)-ROW(RawData!$D$2)+1),RawData!$J$2:$J$50000)),"")</f>
        <v/>
      </c>
    </row>
    <row r="252" spans="5:8" x14ac:dyDescent="0.2">
      <c r="E252" s="28"/>
      <c r="F252" s="25" t="str">
        <f>IF(E252="","",SUMIFS(RawData!$M$2:$M$50000,RawData!$B$2:$B$50000,"="&amp;Home!$A$5,RawData!$D$2:$D$50000,"="&amp;Home!$E252))</f>
        <v/>
      </c>
      <c r="G252" s="26" t="str">
        <f>IF(E252="","",SUMIFS(RawData!$N$2:$N$50000,RawData!$B$2:$B$50000,"="&amp;Home!$A$5,RawData!$D$2:$D$50000,"="&amp;Home!$E252))</f>
        <v/>
      </c>
      <c r="H252" s="27" t="str">
        <f t="array" ref="H252">IFERROR(SUM(IF(FREQUENCY(IF(RawData!$D$2:$D$50000=Home!E252,MATCH(RawData!$H$2:$H$50000,RawData!$H$2:$H$50000,0)),ROW(RawData!$D$2:$D$50000)-ROW(RawData!$D$2)+1),RawData!$J$2:$J$50000)),"")</f>
        <v/>
      </c>
    </row>
    <row r="253" spans="5:8" x14ac:dyDescent="0.2">
      <c r="E253" s="28"/>
      <c r="F253" s="25" t="str">
        <f>IF(E253="","",SUMIFS(RawData!$M$2:$M$50000,RawData!$B$2:$B$50000,"="&amp;Home!$A$5,RawData!$D$2:$D$50000,"="&amp;Home!$E253))</f>
        <v/>
      </c>
      <c r="G253" s="26" t="str">
        <f>IF(E253="","",SUMIFS(RawData!$N$2:$N$50000,RawData!$B$2:$B$50000,"="&amp;Home!$A$5,RawData!$D$2:$D$50000,"="&amp;Home!$E253))</f>
        <v/>
      </c>
      <c r="H253" s="27" t="str">
        <f t="array" ref="H253">IFERROR(SUM(IF(FREQUENCY(IF(RawData!$D$2:$D$50000=Home!E253,MATCH(RawData!$H$2:$H$50000,RawData!$H$2:$H$50000,0)),ROW(RawData!$D$2:$D$50000)-ROW(RawData!$D$2)+1),RawData!$J$2:$J$50000)),"")</f>
        <v/>
      </c>
    </row>
    <row r="254" spans="5:8" x14ac:dyDescent="0.2">
      <c r="E254" s="28"/>
      <c r="F254" s="25" t="str">
        <f>IF(E254="","",SUMIFS(RawData!$M$2:$M$50000,RawData!$B$2:$B$50000,"="&amp;Home!$A$5,RawData!$D$2:$D$50000,"="&amp;Home!$E254))</f>
        <v/>
      </c>
      <c r="G254" s="26" t="str">
        <f>IF(E254="","",SUMIFS(RawData!$N$2:$N$50000,RawData!$B$2:$B$50000,"="&amp;Home!$A$5,RawData!$D$2:$D$50000,"="&amp;Home!$E254))</f>
        <v/>
      </c>
      <c r="H254" s="27" t="str">
        <f t="array" ref="H254">IFERROR(SUM(IF(FREQUENCY(IF(RawData!$D$2:$D$50000=Home!E254,MATCH(RawData!$H$2:$H$50000,RawData!$H$2:$H$50000,0)),ROW(RawData!$D$2:$D$50000)-ROW(RawData!$D$2)+1),RawData!$J$2:$J$50000)),"")</f>
        <v/>
      </c>
    </row>
    <row r="255" spans="5:8" x14ac:dyDescent="0.2">
      <c r="E255" s="28"/>
      <c r="F255" s="25" t="str">
        <f>IF(E255="","",SUMIFS(RawData!$M$2:$M$50000,RawData!$B$2:$B$50000,"="&amp;Home!$A$5,RawData!$D$2:$D$50000,"="&amp;Home!$E255))</f>
        <v/>
      </c>
      <c r="G255" s="26" t="str">
        <f>IF(E255="","",SUMIFS(RawData!$N$2:$N$50000,RawData!$B$2:$B$50000,"="&amp;Home!$A$5,RawData!$D$2:$D$50000,"="&amp;Home!$E255))</f>
        <v/>
      </c>
      <c r="H255" s="27" t="str">
        <f t="array" ref="H255">IFERROR(SUM(IF(FREQUENCY(IF(RawData!$D$2:$D$50000=Home!E255,MATCH(RawData!$H$2:$H$50000,RawData!$H$2:$H$50000,0)),ROW(RawData!$D$2:$D$50000)-ROW(RawData!$D$2)+1),RawData!$J$2:$J$50000)),"")</f>
        <v/>
      </c>
    </row>
    <row r="256" spans="5:8" x14ac:dyDescent="0.2">
      <c r="E256" s="28"/>
      <c r="F256" s="25" t="str">
        <f>IF(E256="","",SUMIFS(RawData!$M$2:$M$50000,RawData!$B$2:$B$50000,"="&amp;Home!$A$5,RawData!$D$2:$D$50000,"="&amp;Home!$E256))</f>
        <v/>
      </c>
      <c r="G256" s="26" t="str">
        <f>IF(E256="","",SUMIFS(RawData!$N$2:$N$50000,RawData!$B$2:$B$50000,"="&amp;Home!$A$5,RawData!$D$2:$D$50000,"="&amp;Home!$E256))</f>
        <v/>
      </c>
      <c r="H256" s="27" t="str">
        <f t="array" ref="H256">IFERROR(SUM(IF(FREQUENCY(IF(RawData!$D$2:$D$50000=Home!E256,MATCH(RawData!$H$2:$H$50000,RawData!$H$2:$H$50000,0)),ROW(RawData!$D$2:$D$50000)-ROW(RawData!$D$2)+1),RawData!$J$2:$J$50000)),"")</f>
        <v/>
      </c>
    </row>
    <row r="257" spans="5:8" x14ac:dyDescent="0.2">
      <c r="E257" s="28"/>
      <c r="F257" s="25" t="str">
        <f>IF(E257="","",SUMIFS(RawData!$M$2:$M$50000,RawData!$B$2:$B$50000,"="&amp;Home!$A$5,RawData!$D$2:$D$50000,"="&amp;Home!$E257))</f>
        <v/>
      </c>
      <c r="G257" s="26" t="str">
        <f>IF(E257="","",SUMIFS(RawData!$N$2:$N$50000,RawData!$B$2:$B$50000,"="&amp;Home!$A$5,RawData!$D$2:$D$50000,"="&amp;Home!$E257))</f>
        <v/>
      </c>
      <c r="H257" s="27" t="str">
        <f t="array" ref="H257">IFERROR(SUM(IF(FREQUENCY(IF(RawData!$D$2:$D$50000=Home!E257,MATCH(RawData!$H$2:$H$50000,RawData!$H$2:$H$50000,0)),ROW(RawData!$D$2:$D$50000)-ROW(RawData!$D$2)+1),RawData!$J$2:$J$50000)),"")</f>
        <v/>
      </c>
    </row>
    <row r="258" spans="5:8" x14ac:dyDescent="0.2">
      <c r="E258" s="28"/>
      <c r="F258" s="25" t="str">
        <f>IF(E258="","",SUMIFS(RawData!$M$2:$M$50000,RawData!$B$2:$B$50000,"="&amp;Home!$A$5,RawData!$D$2:$D$50000,"="&amp;Home!$E258))</f>
        <v/>
      </c>
      <c r="G258" s="26" t="str">
        <f>IF(E258="","",SUMIFS(RawData!$N$2:$N$50000,RawData!$B$2:$B$50000,"="&amp;Home!$A$5,RawData!$D$2:$D$50000,"="&amp;Home!$E258))</f>
        <v/>
      </c>
      <c r="H258" s="27" t="str">
        <f t="array" ref="H258">IFERROR(SUM(IF(FREQUENCY(IF(RawData!$D$2:$D$50000=Home!E258,MATCH(RawData!$H$2:$H$50000,RawData!$H$2:$H$50000,0)),ROW(RawData!$D$2:$D$50000)-ROW(RawData!$D$2)+1),RawData!$J$2:$J$50000)),"")</f>
        <v/>
      </c>
    </row>
    <row r="259" spans="5:8" x14ac:dyDescent="0.2">
      <c r="E259" s="28"/>
      <c r="F259" s="25" t="str">
        <f>IF(E259="","",SUMIFS(RawData!$M$2:$M$50000,RawData!$B$2:$B$50000,"="&amp;Home!$A$5,RawData!$D$2:$D$50000,"="&amp;Home!$E259))</f>
        <v/>
      </c>
      <c r="G259" s="26" t="str">
        <f>IF(E259="","",SUMIFS(RawData!$N$2:$N$50000,RawData!$B$2:$B$50000,"="&amp;Home!$A$5,RawData!$D$2:$D$50000,"="&amp;Home!$E259))</f>
        <v/>
      </c>
      <c r="H259" s="27" t="str">
        <f t="array" ref="H259">IFERROR(SUM(IF(FREQUENCY(IF(RawData!$D$2:$D$50000=Home!E259,MATCH(RawData!$H$2:$H$50000,RawData!$H$2:$H$50000,0)),ROW(RawData!$D$2:$D$50000)-ROW(RawData!$D$2)+1),RawData!$J$2:$J$50000)),"")</f>
        <v/>
      </c>
    </row>
    <row r="260" spans="5:8" x14ac:dyDescent="0.2">
      <c r="E260" s="28"/>
      <c r="F260" s="25" t="str">
        <f>IF(E260="","",SUMIFS(RawData!$M$2:$M$50000,RawData!$B$2:$B$50000,"="&amp;Home!$A$5,RawData!$D$2:$D$50000,"="&amp;Home!$E260))</f>
        <v/>
      </c>
      <c r="G260" s="26" t="str">
        <f>IF(E260="","",SUMIFS(RawData!$N$2:$N$50000,RawData!$B$2:$B$50000,"="&amp;Home!$A$5,RawData!$D$2:$D$50000,"="&amp;Home!$E260))</f>
        <v/>
      </c>
      <c r="H260" s="27" t="str">
        <f t="array" ref="H260">IFERROR(SUM(IF(FREQUENCY(IF(RawData!$D$2:$D$50000=Home!E260,MATCH(RawData!$H$2:$H$50000,RawData!$H$2:$H$50000,0)),ROW(RawData!$D$2:$D$50000)-ROW(RawData!$D$2)+1),RawData!$J$2:$J$50000)),"")</f>
        <v/>
      </c>
    </row>
    <row r="261" spans="5:8" x14ac:dyDescent="0.2">
      <c r="E261" s="28"/>
      <c r="F261" s="25" t="str">
        <f>IF(E261="","",SUMIFS(RawData!$M$2:$M$50000,RawData!$B$2:$B$50000,"="&amp;Home!$A$5,RawData!$D$2:$D$50000,"="&amp;Home!$E261))</f>
        <v/>
      </c>
      <c r="G261" s="26" t="str">
        <f>IF(E261="","",SUMIFS(RawData!$N$2:$N$50000,RawData!$B$2:$B$50000,"="&amp;Home!$A$5,RawData!$D$2:$D$50000,"="&amp;Home!$E261))</f>
        <v/>
      </c>
      <c r="H261" s="27" t="str">
        <f t="array" ref="H261">IFERROR(SUM(IF(FREQUENCY(IF(RawData!$D$2:$D$50000=Home!E261,MATCH(RawData!$H$2:$H$50000,RawData!$H$2:$H$50000,0)),ROW(RawData!$D$2:$D$50000)-ROW(RawData!$D$2)+1),RawData!$J$2:$J$50000)),"")</f>
        <v/>
      </c>
    </row>
    <row r="262" spans="5:8" x14ac:dyDescent="0.2">
      <c r="E262" s="28"/>
      <c r="F262" s="25" t="str">
        <f>IF(E262="","",SUMIFS(RawData!$M$2:$M$50000,RawData!$B$2:$B$50000,"="&amp;Home!$A$5,RawData!$D$2:$D$50000,"="&amp;Home!$E262))</f>
        <v/>
      </c>
      <c r="G262" s="26" t="str">
        <f>IF(E262="","",SUMIFS(RawData!$N$2:$N$50000,RawData!$B$2:$B$50000,"="&amp;Home!$A$5,RawData!$D$2:$D$50000,"="&amp;Home!$E262))</f>
        <v/>
      </c>
      <c r="H262" s="27" t="str">
        <f t="array" ref="H262">IFERROR(SUM(IF(FREQUENCY(IF(RawData!$D$2:$D$50000=Home!E262,MATCH(RawData!$H$2:$H$50000,RawData!$H$2:$H$50000,0)),ROW(RawData!$D$2:$D$50000)-ROW(RawData!$D$2)+1),RawData!$J$2:$J$50000)),"")</f>
        <v/>
      </c>
    </row>
    <row r="263" spans="5:8" x14ac:dyDescent="0.2">
      <c r="E263" s="28"/>
      <c r="F263" s="25" t="str">
        <f>IF(E263="","",SUMIFS(RawData!$M$2:$M$50000,RawData!$B$2:$B$50000,"="&amp;Home!$A$5,RawData!$D$2:$D$50000,"="&amp;Home!$E263))</f>
        <v/>
      </c>
      <c r="G263" s="26" t="str">
        <f>IF(E263="","",SUMIFS(RawData!$N$2:$N$50000,RawData!$B$2:$B$50000,"="&amp;Home!$A$5,RawData!$D$2:$D$50000,"="&amp;Home!$E263))</f>
        <v/>
      </c>
      <c r="H263" s="27" t="str">
        <f t="array" ref="H263">IFERROR(SUM(IF(FREQUENCY(IF(RawData!$D$2:$D$50000=Home!E263,MATCH(RawData!$H$2:$H$50000,RawData!$H$2:$H$50000,0)),ROW(RawData!$D$2:$D$50000)-ROW(RawData!$D$2)+1),RawData!$J$2:$J$50000)),"")</f>
        <v/>
      </c>
    </row>
    <row r="264" spans="5:8" x14ac:dyDescent="0.2">
      <c r="E264" s="28"/>
      <c r="F264" s="25" t="str">
        <f>IF(E264="","",SUMIFS(RawData!$M$2:$M$50000,RawData!$B$2:$B$50000,"="&amp;Home!$A$5,RawData!$D$2:$D$50000,"="&amp;Home!$E264))</f>
        <v/>
      </c>
      <c r="G264" s="26" t="str">
        <f>IF(E264="","",SUMIFS(RawData!$N$2:$N$50000,RawData!$B$2:$B$50000,"="&amp;Home!$A$5,RawData!$D$2:$D$50000,"="&amp;Home!$E264))</f>
        <v/>
      </c>
      <c r="H264" s="27" t="str">
        <f t="array" ref="H264">IFERROR(SUM(IF(FREQUENCY(IF(RawData!$D$2:$D$50000=Home!E264,MATCH(RawData!$H$2:$H$50000,RawData!$H$2:$H$50000,0)),ROW(RawData!$D$2:$D$50000)-ROW(RawData!$D$2)+1),RawData!$J$2:$J$50000)),"")</f>
        <v/>
      </c>
    </row>
    <row r="265" spans="5:8" x14ac:dyDescent="0.2">
      <c r="E265" s="28"/>
      <c r="F265" s="25" t="str">
        <f>IF(E265="","",SUMIFS(RawData!$M$2:$M$50000,RawData!$B$2:$B$50000,"="&amp;Home!$A$5,RawData!$D$2:$D$50000,"="&amp;Home!$E265))</f>
        <v/>
      </c>
      <c r="G265" s="26" t="str">
        <f>IF(E265="","",SUMIFS(RawData!$N$2:$N$50000,RawData!$B$2:$B$50000,"="&amp;Home!$A$5,RawData!$D$2:$D$50000,"="&amp;Home!$E265))</f>
        <v/>
      </c>
      <c r="H265" s="27" t="str">
        <f t="array" ref="H265">IFERROR(SUM(IF(FREQUENCY(IF(RawData!$D$2:$D$50000=Home!E265,MATCH(RawData!$H$2:$H$50000,RawData!$H$2:$H$50000,0)),ROW(RawData!$D$2:$D$50000)-ROW(RawData!$D$2)+1),RawData!$J$2:$J$50000)),"")</f>
        <v/>
      </c>
    </row>
    <row r="266" spans="5:8" x14ac:dyDescent="0.2">
      <c r="E266" s="28"/>
      <c r="F266" s="25" t="str">
        <f>IF(E266="","",SUMIFS(RawData!$M$2:$M$50000,RawData!$B$2:$B$50000,"="&amp;Home!$A$5,RawData!$D$2:$D$50000,"="&amp;Home!$E266))</f>
        <v/>
      </c>
      <c r="G266" s="26" t="str">
        <f>IF(E266="","",SUMIFS(RawData!$N$2:$N$50000,RawData!$B$2:$B$50000,"="&amp;Home!$A$5,RawData!$D$2:$D$50000,"="&amp;Home!$E266))</f>
        <v/>
      </c>
      <c r="H266" s="27" t="str">
        <f t="array" ref="H266">IFERROR(SUM(IF(FREQUENCY(IF(RawData!$D$2:$D$50000=Home!E266,MATCH(RawData!$H$2:$H$50000,RawData!$H$2:$H$50000,0)),ROW(RawData!$D$2:$D$50000)-ROW(RawData!$D$2)+1),RawData!$J$2:$J$50000)),"")</f>
        <v/>
      </c>
    </row>
    <row r="267" spans="5:8" x14ac:dyDescent="0.2">
      <c r="E267" s="28"/>
      <c r="F267" s="25" t="str">
        <f>IF(E267="","",SUMIFS(RawData!$M$2:$M$50000,RawData!$B$2:$B$50000,"="&amp;Home!$A$5,RawData!$D$2:$D$50000,"="&amp;Home!$E267))</f>
        <v/>
      </c>
      <c r="G267" s="26" t="str">
        <f>IF(E267="","",SUMIFS(RawData!$N$2:$N$50000,RawData!$B$2:$B$50000,"="&amp;Home!$A$5,RawData!$D$2:$D$50000,"="&amp;Home!$E267))</f>
        <v/>
      </c>
      <c r="H267" s="27" t="str">
        <f t="array" ref="H267">IFERROR(SUM(IF(FREQUENCY(IF(RawData!$D$2:$D$50000=Home!E267,MATCH(RawData!$H$2:$H$50000,RawData!$H$2:$H$50000,0)),ROW(RawData!$D$2:$D$50000)-ROW(RawData!$D$2)+1),RawData!$J$2:$J$50000)),"")</f>
        <v/>
      </c>
    </row>
    <row r="268" spans="5:8" x14ac:dyDescent="0.2">
      <c r="E268" s="28"/>
      <c r="F268" s="25" t="str">
        <f>IF(E268="","",SUMIFS(RawData!$M$2:$M$50000,RawData!$B$2:$B$50000,"="&amp;Home!$A$5,RawData!$D$2:$D$50000,"="&amp;Home!$E268))</f>
        <v/>
      </c>
      <c r="G268" s="26" t="str">
        <f>IF(E268="","",SUMIFS(RawData!$N$2:$N$50000,RawData!$B$2:$B$50000,"="&amp;Home!$A$5,RawData!$D$2:$D$50000,"="&amp;Home!$E268))</f>
        <v/>
      </c>
      <c r="H268" s="27" t="str">
        <f t="array" ref="H268">IFERROR(SUM(IF(FREQUENCY(IF(RawData!$D$2:$D$50000=Home!E268,MATCH(RawData!$H$2:$H$50000,RawData!$H$2:$H$50000,0)),ROW(RawData!$D$2:$D$50000)-ROW(RawData!$D$2)+1),RawData!$J$2:$J$50000)),"")</f>
        <v/>
      </c>
    </row>
    <row r="269" spans="5:8" x14ac:dyDescent="0.2">
      <c r="E269" s="28"/>
      <c r="F269" s="25" t="str">
        <f>IF(E269="","",SUMIFS(RawData!$M$2:$M$50000,RawData!$B$2:$B$50000,"="&amp;Home!$A$5,RawData!$D$2:$D$50000,"="&amp;Home!$E269))</f>
        <v/>
      </c>
      <c r="G269" s="26" t="str">
        <f>IF(E269="","",SUMIFS(RawData!$N$2:$N$50000,RawData!$B$2:$B$50000,"="&amp;Home!$A$5,RawData!$D$2:$D$50000,"="&amp;Home!$E269))</f>
        <v/>
      </c>
      <c r="H269" s="27" t="str">
        <f t="array" ref="H269">IFERROR(SUM(IF(FREQUENCY(IF(RawData!$D$2:$D$50000=Home!E269,MATCH(RawData!$H$2:$H$50000,RawData!$H$2:$H$50000,0)),ROW(RawData!$D$2:$D$50000)-ROW(RawData!$D$2)+1),RawData!$J$2:$J$50000)),"")</f>
        <v/>
      </c>
    </row>
    <row r="270" spans="5:8" x14ac:dyDescent="0.2">
      <c r="E270" s="28"/>
      <c r="F270" s="25" t="str">
        <f>IF(E270="","",SUMIFS(RawData!$M$2:$M$50000,RawData!$B$2:$B$50000,"="&amp;Home!$A$5,RawData!$D$2:$D$50000,"="&amp;Home!$E270))</f>
        <v/>
      </c>
      <c r="G270" s="26" t="str">
        <f>IF(E270="","",SUMIFS(RawData!$N$2:$N$50000,RawData!$B$2:$B$50000,"="&amp;Home!$A$5,RawData!$D$2:$D$50000,"="&amp;Home!$E270))</f>
        <v/>
      </c>
      <c r="H270" s="27" t="str">
        <f t="array" ref="H270">IFERROR(SUM(IF(FREQUENCY(IF(RawData!$D$2:$D$50000=Home!E270,MATCH(RawData!$H$2:$H$50000,RawData!$H$2:$H$50000,0)),ROW(RawData!$D$2:$D$50000)-ROW(RawData!$D$2)+1),RawData!$J$2:$J$50000)),"")</f>
        <v/>
      </c>
    </row>
    <row r="271" spans="5:8" x14ac:dyDescent="0.2">
      <c r="E271" s="28"/>
      <c r="F271" s="25" t="str">
        <f>IF(E271="","",SUMIFS(RawData!$M$2:$M$50000,RawData!$B$2:$B$50000,"="&amp;Home!$A$5,RawData!$D$2:$D$50000,"="&amp;Home!$E271))</f>
        <v/>
      </c>
      <c r="G271" s="26" t="str">
        <f>IF(E271="","",SUMIFS(RawData!$N$2:$N$50000,RawData!$B$2:$B$50000,"="&amp;Home!$A$5,RawData!$D$2:$D$50000,"="&amp;Home!$E271))</f>
        <v/>
      </c>
      <c r="H271" s="27" t="str">
        <f t="array" ref="H271">IFERROR(SUM(IF(FREQUENCY(IF(RawData!$D$2:$D$50000=Home!E271,MATCH(RawData!$H$2:$H$50000,RawData!$H$2:$H$50000,0)),ROW(RawData!$D$2:$D$50000)-ROW(RawData!$D$2)+1),RawData!$J$2:$J$50000)),"")</f>
        <v/>
      </c>
    </row>
    <row r="272" spans="5:8" x14ac:dyDescent="0.2">
      <c r="E272" s="28"/>
      <c r="F272" s="25" t="str">
        <f>IF(E272="","",SUMIFS(RawData!$M$2:$M$50000,RawData!$B$2:$B$50000,"="&amp;Home!$A$5,RawData!$D$2:$D$50000,"="&amp;Home!$E272))</f>
        <v/>
      </c>
      <c r="G272" s="26" t="str">
        <f>IF(E272="","",SUMIFS(RawData!$N$2:$N$50000,RawData!$B$2:$B$50000,"="&amp;Home!$A$5,RawData!$D$2:$D$50000,"="&amp;Home!$E272))</f>
        <v/>
      </c>
      <c r="H272" s="27" t="str">
        <f t="array" ref="H272">IFERROR(SUM(IF(FREQUENCY(IF(RawData!$D$2:$D$50000=Home!E272,MATCH(RawData!$H$2:$H$50000,RawData!$H$2:$H$50000,0)),ROW(RawData!$D$2:$D$50000)-ROW(RawData!$D$2)+1),RawData!$J$2:$J$50000)),"")</f>
        <v/>
      </c>
    </row>
    <row r="273" spans="5:8" x14ac:dyDescent="0.2">
      <c r="E273" s="28"/>
      <c r="F273" s="25" t="str">
        <f>IF(E273="","",SUMIFS(RawData!$M$2:$M$50000,RawData!$B$2:$B$50000,"="&amp;Home!$A$5,RawData!$D$2:$D$50000,"="&amp;Home!$E273))</f>
        <v/>
      </c>
      <c r="G273" s="26" t="str">
        <f>IF(E273="","",SUMIFS(RawData!$N$2:$N$50000,RawData!$B$2:$B$50000,"="&amp;Home!$A$5,RawData!$D$2:$D$50000,"="&amp;Home!$E273))</f>
        <v/>
      </c>
      <c r="H273" s="27" t="str">
        <f t="array" ref="H273">IFERROR(SUM(IF(FREQUENCY(IF(RawData!$D$2:$D$50000=Home!E273,MATCH(RawData!$H$2:$H$50000,RawData!$H$2:$H$50000,0)),ROW(RawData!$D$2:$D$50000)-ROW(RawData!$D$2)+1),RawData!$J$2:$J$50000)),"")</f>
        <v/>
      </c>
    </row>
    <row r="274" spans="5:8" x14ac:dyDescent="0.2">
      <c r="E274" s="28"/>
      <c r="F274" s="25" t="str">
        <f>IF(E274="","",SUMIFS(RawData!$M$2:$M$50000,RawData!$B$2:$B$50000,"="&amp;Home!$A$5,RawData!$D$2:$D$50000,"="&amp;Home!$E274))</f>
        <v/>
      </c>
      <c r="G274" s="26" t="str">
        <f>IF(E274="","",SUMIFS(RawData!$N$2:$N$50000,RawData!$B$2:$B$50000,"="&amp;Home!$A$5,RawData!$D$2:$D$50000,"="&amp;Home!$E274))</f>
        <v/>
      </c>
      <c r="H274" s="27" t="str">
        <f t="array" ref="H274">IFERROR(SUM(IF(FREQUENCY(IF(RawData!$D$2:$D$50000=Home!E274,MATCH(RawData!$H$2:$H$50000,RawData!$H$2:$H$50000,0)),ROW(RawData!$D$2:$D$50000)-ROW(RawData!$D$2)+1),RawData!$J$2:$J$50000)),"")</f>
        <v/>
      </c>
    </row>
    <row r="275" spans="5:8" x14ac:dyDescent="0.2">
      <c r="E275" s="28"/>
      <c r="F275" s="25" t="str">
        <f>IF(E275="","",SUMIFS(RawData!$M$2:$M$50000,RawData!$B$2:$B$50000,"="&amp;Home!$A$5,RawData!$D$2:$D$50000,"="&amp;Home!$E275))</f>
        <v/>
      </c>
      <c r="G275" s="26" t="str">
        <f>IF(E275="","",SUMIFS(RawData!$N$2:$N$50000,RawData!$B$2:$B$50000,"="&amp;Home!$A$5,RawData!$D$2:$D$50000,"="&amp;Home!$E275))</f>
        <v/>
      </c>
      <c r="H275" s="27" t="str">
        <f t="array" ref="H275">IFERROR(SUM(IF(FREQUENCY(IF(RawData!$D$2:$D$50000=Home!E275,MATCH(RawData!$H$2:$H$50000,RawData!$H$2:$H$50000,0)),ROW(RawData!$D$2:$D$50000)-ROW(RawData!$D$2)+1),RawData!$J$2:$J$50000)),"")</f>
        <v/>
      </c>
    </row>
    <row r="276" spans="5:8" x14ac:dyDescent="0.2">
      <c r="E276" s="28"/>
      <c r="F276" s="25" t="str">
        <f>IF(E276="","",SUMIFS(RawData!$M$2:$M$50000,RawData!$B$2:$B$50000,"="&amp;Home!$A$5,RawData!$D$2:$D$50000,"="&amp;Home!$E276))</f>
        <v/>
      </c>
      <c r="G276" s="26" t="str">
        <f>IF(E276="","",SUMIFS(RawData!$N$2:$N$50000,RawData!$B$2:$B$50000,"="&amp;Home!$A$5,RawData!$D$2:$D$50000,"="&amp;Home!$E276))</f>
        <v/>
      </c>
      <c r="H276" s="27" t="str">
        <f t="array" ref="H276">IFERROR(SUM(IF(FREQUENCY(IF(RawData!$D$2:$D$50000=Home!E276,MATCH(RawData!$H$2:$H$50000,RawData!$H$2:$H$50000,0)),ROW(RawData!$D$2:$D$50000)-ROW(RawData!$D$2)+1),RawData!$J$2:$J$50000)),"")</f>
        <v/>
      </c>
    </row>
    <row r="277" spans="5:8" x14ac:dyDescent="0.2">
      <c r="E277" s="28"/>
      <c r="F277" s="25" t="str">
        <f>IF(E277="","",SUMIFS(RawData!$M$2:$M$50000,RawData!$B$2:$B$50000,"="&amp;Home!$A$5,RawData!$D$2:$D$50000,"="&amp;Home!$E277))</f>
        <v/>
      </c>
      <c r="G277" s="26" t="str">
        <f>IF(E277="","",SUMIFS(RawData!$N$2:$N$50000,RawData!$B$2:$B$50000,"="&amp;Home!$A$5,RawData!$D$2:$D$50000,"="&amp;Home!$E277))</f>
        <v/>
      </c>
      <c r="H277" s="27" t="str">
        <f t="array" ref="H277">IFERROR(SUM(IF(FREQUENCY(IF(RawData!$D$2:$D$50000=Home!E277,MATCH(RawData!$H$2:$H$50000,RawData!$H$2:$H$50000,0)),ROW(RawData!$D$2:$D$50000)-ROW(RawData!$D$2)+1),RawData!$J$2:$J$50000)),"")</f>
        <v/>
      </c>
    </row>
    <row r="278" spans="5:8" x14ac:dyDescent="0.2">
      <c r="E278" s="28"/>
      <c r="F278" s="25" t="str">
        <f>IF(E278="","",SUMIFS(RawData!$M$2:$M$50000,RawData!$B$2:$B$50000,"="&amp;Home!$A$5,RawData!$D$2:$D$50000,"="&amp;Home!$E278))</f>
        <v/>
      </c>
      <c r="G278" s="26" t="str">
        <f>IF(E278="","",SUMIFS(RawData!$N$2:$N$50000,RawData!$B$2:$B$50000,"="&amp;Home!$A$5,RawData!$D$2:$D$50000,"="&amp;Home!$E278))</f>
        <v/>
      </c>
      <c r="H278" s="27" t="str">
        <f t="array" ref="H278">IFERROR(SUM(IF(FREQUENCY(IF(RawData!$D$2:$D$50000=Home!E278,MATCH(RawData!$H$2:$H$50000,RawData!$H$2:$H$50000,0)),ROW(RawData!$D$2:$D$50000)-ROW(RawData!$D$2)+1),RawData!$J$2:$J$50000)),"")</f>
        <v/>
      </c>
    </row>
    <row r="279" spans="5:8" x14ac:dyDescent="0.2">
      <c r="E279" s="28"/>
      <c r="F279" s="25" t="str">
        <f>IF(E279="","",SUMIFS(RawData!$M$2:$M$50000,RawData!$B$2:$B$50000,"="&amp;Home!$A$5,RawData!$D$2:$D$50000,"="&amp;Home!$E279))</f>
        <v/>
      </c>
      <c r="G279" s="26" t="str">
        <f>IF(E279="","",SUMIFS(RawData!$N$2:$N$50000,RawData!$B$2:$B$50000,"="&amp;Home!$A$5,RawData!$D$2:$D$50000,"="&amp;Home!$E279))</f>
        <v/>
      </c>
      <c r="H279" s="27" t="str">
        <f t="array" ref="H279">IFERROR(SUM(IF(FREQUENCY(IF(RawData!$D$2:$D$50000=Home!E279,MATCH(RawData!$H$2:$H$50000,RawData!$H$2:$H$50000,0)),ROW(RawData!$D$2:$D$50000)-ROW(RawData!$D$2)+1),RawData!$J$2:$J$50000)),"")</f>
        <v/>
      </c>
    </row>
    <row r="280" spans="5:8" x14ac:dyDescent="0.2">
      <c r="E280" s="28"/>
      <c r="F280" s="25" t="str">
        <f>IF(E280="","",SUMIFS(RawData!$M$2:$M$50000,RawData!$B$2:$B$50000,"="&amp;Home!$A$5,RawData!$D$2:$D$50000,"="&amp;Home!$E280))</f>
        <v/>
      </c>
      <c r="G280" s="26" t="str">
        <f>IF(E280="","",SUMIFS(RawData!$N$2:$N$50000,RawData!$B$2:$B$50000,"="&amp;Home!$A$5,RawData!$D$2:$D$50000,"="&amp;Home!$E280))</f>
        <v/>
      </c>
      <c r="H280" s="27" t="str">
        <f t="array" ref="H280">IFERROR(SUM(IF(FREQUENCY(IF(RawData!$D$2:$D$50000=Home!E280,MATCH(RawData!$H$2:$H$50000,RawData!$H$2:$H$50000,0)),ROW(RawData!$D$2:$D$50000)-ROW(RawData!$D$2)+1),RawData!$J$2:$J$50000)),"")</f>
        <v/>
      </c>
    </row>
    <row r="281" spans="5:8" x14ac:dyDescent="0.2">
      <c r="E281" s="28"/>
      <c r="F281" s="25" t="str">
        <f>IF(E281="","",SUMIFS(RawData!$M$2:$M$50000,RawData!$B$2:$B$50000,"="&amp;Home!$A$5,RawData!$D$2:$D$50000,"="&amp;Home!$E281))</f>
        <v/>
      </c>
      <c r="G281" s="26" t="str">
        <f>IF(E281="","",SUMIFS(RawData!$N$2:$N$50000,RawData!$B$2:$B$50000,"="&amp;Home!$A$5,RawData!$D$2:$D$50000,"="&amp;Home!$E281))</f>
        <v/>
      </c>
      <c r="H281" s="27" t="str">
        <f t="array" ref="H281">IFERROR(SUM(IF(FREQUENCY(IF(RawData!$D$2:$D$50000=Home!E281,MATCH(RawData!$H$2:$H$50000,RawData!$H$2:$H$50000,0)),ROW(RawData!$D$2:$D$50000)-ROW(RawData!$D$2)+1),RawData!$J$2:$J$50000)),"")</f>
        <v/>
      </c>
    </row>
    <row r="282" spans="5:8" x14ac:dyDescent="0.2">
      <c r="E282" s="28"/>
      <c r="F282" s="25" t="str">
        <f>IF(E282="","",SUMIFS(RawData!$M$2:$M$50000,RawData!$B$2:$B$50000,"="&amp;Home!$A$5,RawData!$D$2:$D$50000,"="&amp;Home!$E282))</f>
        <v/>
      </c>
      <c r="G282" s="26" t="str">
        <f>IF(E282="","",SUMIFS(RawData!$N$2:$N$50000,RawData!$B$2:$B$50000,"="&amp;Home!$A$5,RawData!$D$2:$D$50000,"="&amp;Home!$E282))</f>
        <v/>
      </c>
      <c r="H282" s="27" t="str">
        <f t="array" ref="H282">IFERROR(SUM(IF(FREQUENCY(IF(RawData!$D$2:$D$50000=Home!E282,MATCH(RawData!$H$2:$H$50000,RawData!$H$2:$H$50000,0)),ROW(RawData!$D$2:$D$50000)-ROW(RawData!$D$2)+1),RawData!$J$2:$J$50000)),"")</f>
        <v/>
      </c>
    </row>
    <row r="283" spans="5:8" x14ac:dyDescent="0.2">
      <c r="E283" s="28"/>
      <c r="F283" s="25" t="str">
        <f>IF(E283="","",SUMIFS(RawData!$M$2:$M$50000,RawData!$B$2:$B$50000,"="&amp;Home!$A$5,RawData!$D$2:$D$50000,"="&amp;Home!$E283))</f>
        <v/>
      </c>
      <c r="G283" s="26" t="str">
        <f>IF(E283="","",SUMIFS(RawData!$N$2:$N$50000,RawData!$B$2:$B$50000,"="&amp;Home!$A$5,RawData!$D$2:$D$50000,"="&amp;Home!$E283))</f>
        <v/>
      </c>
      <c r="H283" s="27" t="str">
        <f t="array" ref="H283">IFERROR(SUM(IF(FREQUENCY(IF(RawData!$D$2:$D$50000=Home!E283,MATCH(RawData!$H$2:$H$50000,RawData!$H$2:$H$50000,0)),ROW(RawData!$D$2:$D$50000)-ROW(RawData!$D$2)+1),RawData!$J$2:$J$50000)),"")</f>
        <v/>
      </c>
    </row>
    <row r="284" spans="5:8" x14ac:dyDescent="0.2">
      <c r="E284" s="28"/>
      <c r="F284" s="25" t="str">
        <f>IF(E284="","",SUMIFS(RawData!$M$2:$M$50000,RawData!$B$2:$B$50000,"="&amp;Home!$A$5,RawData!$D$2:$D$50000,"="&amp;Home!$E284))</f>
        <v/>
      </c>
      <c r="G284" s="26" t="str">
        <f>IF(E284="","",SUMIFS(RawData!$N$2:$N$50000,RawData!$B$2:$B$50000,"="&amp;Home!$A$5,RawData!$D$2:$D$50000,"="&amp;Home!$E284))</f>
        <v/>
      </c>
      <c r="H284" s="27" t="str">
        <f t="array" ref="H284">IFERROR(SUM(IF(FREQUENCY(IF(RawData!$D$2:$D$50000=Home!E284,MATCH(RawData!$H$2:$H$50000,RawData!$H$2:$H$50000,0)),ROW(RawData!$D$2:$D$50000)-ROW(RawData!$D$2)+1),RawData!$J$2:$J$50000)),"")</f>
        <v/>
      </c>
    </row>
    <row r="285" spans="5:8" x14ac:dyDescent="0.2">
      <c r="E285" s="28"/>
      <c r="F285" s="25" t="str">
        <f>IF(E285="","",SUMIFS(RawData!$M$2:$M$50000,RawData!$B$2:$B$50000,"="&amp;Home!$A$5,RawData!$D$2:$D$50000,"="&amp;Home!$E285))</f>
        <v/>
      </c>
      <c r="G285" s="26" t="str">
        <f>IF(E285="","",SUMIFS(RawData!$N$2:$N$50000,RawData!$B$2:$B$50000,"="&amp;Home!$A$5,RawData!$D$2:$D$50000,"="&amp;Home!$E285))</f>
        <v/>
      </c>
      <c r="H285" s="27" t="str">
        <f t="array" ref="H285">IFERROR(SUM(IF(FREQUENCY(IF(RawData!$D$2:$D$50000=Home!E285,MATCH(RawData!$H$2:$H$50000,RawData!$H$2:$H$50000,0)),ROW(RawData!$D$2:$D$50000)-ROW(RawData!$D$2)+1),RawData!$J$2:$J$50000)),"")</f>
        <v/>
      </c>
    </row>
    <row r="286" spans="5:8" x14ac:dyDescent="0.2">
      <c r="E286" s="28"/>
      <c r="F286" s="25" t="str">
        <f>IF(E286="","",SUMIFS(RawData!$M$2:$M$50000,RawData!$B$2:$B$50000,"="&amp;Home!$A$5,RawData!$D$2:$D$50000,"="&amp;Home!$E286))</f>
        <v/>
      </c>
      <c r="G286" s="26" t="str">
        <f>IF(E286="","",SUMIFS(RawData!$N$2:$N$50000,RawData!$B$2:$B$50000,"="&amp;Home!$A$5,RawData!$D$2:$D$50000,"="&amp;Home!$E286))</f>
        <v/>
      </c>
      <c r="H286" s="27" t="str">
        <f t="array" ref="H286">IFERROR(SUM(IF(FREQUENCY(IF(RawData!$D$2:$D$50000=Home!E286,MATCH(RawData!$H$2:$H$50000,RawData!$H$2:$H$50000,0)),ROW(RawData!$D$2:$D$50000)-ROW(RawData!$D$2)+1),RawData!$J$2:$J$50000)),"")</f>
        <v/>
      </c>
    </row>
    <row r="287" spans="5:8" x14ac:dyDescent="0.2">
      <c r="E287" s="28"/>
      <c r="F287" s="25" t="str">
        <f>IF(E287="","",SUMIFS(RawData!$M$2:$M$50000,RawData!$B$2:$B$50000,"="&amp;Home!$A$5,RawData!$D$2:$D$50000,"="&amp;Home!$E287))</f>
        <v/>
      </c>
      <c r="G287" s="26" t="str">
        <f>IF(E287="","",SUMIFS(RawData!$N$2:$N$50000,RawData!$B$2:$B$50000,"="&amp;Home!$A$5,RawData!$D$2:$D$50000,"="&amp;Home!$E287))</f>
        <v/>
      </c>
      <c r="H287" s="27" t="str">
        <f t="array" ref="H287">IFERROR(SUM(IF(FREQUENCY(IF(RawData!$D$2:$D$50000=Home!E287,MATCH(RawData!$H$2:$H$50000,RawData!$H$2:$H$50000,0)),ROW(RawData!$D$2:$D$50000)-ROW(RawData!$D$2)+1),RawData!$J$2:$J$50000)),"")</f>
        <v/>
      </c>
    </row>
    <row r="288" spans="5:8" x14ac:dyDescent="0.2">
      <c r="E288" s="28"/>
      <c r="F288" s="25" t="str">
        <f>IF(E288="","",SUMIFS(RawData!$M$2:$M$50000,RawData!$B$2:$B$50000,"="&amp;Home!$A$5,RawData!$D$2:$D$50000,"="&amp;Home!$E288))</f>
        <v/>
      </c>
      <c r="G288" s="26" t="str">
        <f>IF(E288="","",SUMIFS(RawData!$N$2:$N$50000,RawData!$B$2:$B$50000,"="&amp;Home!$A$5,RawData!$D$2:$D$50000,"="&amp;Home!$E288))</f>
        <v/>
      </c>
      <c r="H288" s="27" t="str">
        <f t="array" ref="H288">IFERROR(SUM(IF(FREQUENCY(IF(RawData!$D$2:$D$50000=Home!E288,MATCH(RawData!$H$2:$H$50000,RawData!$H$2:$H$50000,0)),ROW(RawData!$D$2:$D$50000)-ROW(RawData!$D$2)+1),RawData!$J$2:$J$50000)),"")</f>
        <v/>
      </c>
    </row>
    <row r="289" spans="5:8" x14ac:dyDescent="0.2">
      <c r="E289" s="28"/>
      <c r="F289" s="25" t="str">
        <f>IF(E289="","",SUMIFS(RawData!$M$2:$M$50000,RawData!$B$2:$B$50000,"="&amp;Home!$A$5,RawData!$D$2:$D$50000,"="&amp;Home!$E289))</f>
        <v/>
      </c>
      <c r="G289" s="26" t="str">
        <f>IF(E289="","",SUMIFS(RawData!$N$2:$N$50000,RawData!$B$2:$B$50000,"="&amp;Home!$A$5,RawData!$D$2:$D$50000,"="&amp;Home!$E289))</f>
        <v/>
      </c>
      <c r="H289" s="27" t="str">
        <f t="array" ref="H289">IFERROR(SUM(IF(FREQUENCY(IF(RawData!$D$2:$D$50000=Home!E289,MATCH(RawData!$H$2:$H$50000,RawData!$H$2:$H$50000,0)),ROW(RawData!$D$2:$D$50000)-ROW(RawData!$D$2)+1),RawData!$J$2:$J$50000)),"")</f>
        <v/>
      </c>
    </row>
    <row r="290" spans="5:8" x14ac:dyDescent="0.2">
      <c r="E290" s="28"/>
      <c r="F290" s="25" t="str">
        <f>IF(E290="","",SUMIFS(RawData!$M$2:$M$50000,RawData!$B$2:$B$50000,"="&amp;Home!$A$5,RawData!$D$2:$D$50000,"="&amp;Home!$E290))</f>
        <v/>
      </c>
      <c r="G290" s="26" t="str">
        <f>IF(E290="","",SUMIFS(RawData!$N$2:$N$50000,RawData!$B$2:$B$50000,"="&amp;Home!$A$5,RawData!$D$2:$D$50000,"="&amp;Home!$E290))</f>
        <v/>
      </c>
      <c r="H290" s="27" t="str">
        <f t="array" ref="H290">IFERROR(SUM(IF(FREQUENCY(IF(RawData!$D$2:$D$50000=Home!E290,MATCH(RawData!$H$2:$H$50000,RawData!$H$2:$H$50000,0)),ROW(RawData!$D$2:$D$50000)-ROW(RawData!$D$2)+1),RawData!$J$2:$J$50000)),"")</f>
        <v/>
      </c>
    </row>
    <row r="291" spans="5:8" x14ac:dyDescent="0.2">
      <c r="E291" s="28"/>
      <c r="F291" s="25" t="str">
        <f>IF(E291="","",SUMIFS(RawData!$M$2:$M$50000,RawData!$B$2:$B$50000,"="&amp;Home!$A$5,RawData!$D$2:$D$50000,"="&amp;Home!$E291))</f>
        <v/>
      </c>
      <c r="G291" s="26" t="str">
        <f>IF(E291="","",SUMIFS(RawData!$N$2:$N$50000,RawData!$B$2:$B$50000,"="&amp;Home!$A$5,RawData!$D$2:$D$50000,"="&amp;Home!$E291))</f>
        <v/>
      </c>
      <c r="H291" s="27" t="str">
        <f t="array" ref="H291">IFERROR(SUM(IF(FREQUENCY(IF(RawData!$D$2:$D$50000=Home!E291,MATCH(RawData!$H$2:$H$50000,RawData!$H$2:$H$50000,0)),ROW(RawData!$D$2:$D$50000)-ROW(RawData!$D$2)+1),RawData!$J$2:$J$50000)),"")</f>
        <v/>
      </c>
    </row>
    <row r="292" spans="5:8" x14ac:dyDescent="0.2">
      <c r="E292" s="28"/>
      <c r="F292" s="25" t="str">
        <f>IF(E292="","",SUMIFS(RawData!$M$2:$M$50000,RawData!$B$2:$B$50000,"="&amp;Home!$A$5,RawData!$D$2:$D$50000,"="&amp;Home!$E292))</f>
        <v/>
      </c>
      <c r="G292" s="26" t="str">
        <f>IF(E292="","",SUMIFS(RawData!$N$2:$N$50000,RawData!$B$2:$B$50000,"="&amp;Home!$A$5,RawData!$D$2:$D$50000,"="&amp;Home!$E292))</f>
        <v/>
      </c>
      <c r="H292" s="27" t="str">
        <f t="array" ref="H292">IFERROR(SUM(IF(FREQUENCY(IF(RawData!$D$2:$D$50000=Home!E292,MATCH(RawData!$H$2:$H$50000,RawData!$H$2:$H$50000,0)),ROW(RawData!$D$2:$D$50000)-ROW(RawData!$D$2)+1),RawData!$J$2:$J$50000)),"")</f>
        <v/>
      </c>
    </row>
    <row r="293" spans="5:8" x14ac:dyDescent="0.2">
      <c r="E293" s="28"/>
      <c r="F293" s="25" t="str">
        <f>IF(E293="","",SUMIFS(RawData!$M$2:$M$50000,RawData!$B$2:$B$50000,"="&amp;Home!$A$5,RawData!$D$2:$D$50000,"="&amp;Home!$E293))</f>
        <v/>
      </c>
      <c r="G293" s="26" t="str">
        <f>IF(E293="","",SUMIFS(RawData!$N$2:$N$50000,RawData!$B$2:$B$50000,"="&amp;Home!$A$5,RawData!$D$2:$D$50000,"="&amp;Home!$E293))</f>
        <v/>
      </c>
      <c r="H293" s="27" t="str">
        <f t="array" ref="H293">IFERROR(SUM(IF(FREQUENCY(IF(RawData!$D$2:$D$50000=Home!E293,MATCH(RawData!$H$2:$H$50000,RawData!$H$2:$H$50000,0)),ROW(RawData!$D$2:$D$50000)-ROW(RawData!$D$2)+1),RawData!$J$2:$J$50000)),"")</f>
        <v/>
      </c>
    </row>
    <row r="294" spans="5:8" x14ac:dyDescent="0.2">
      <c r="E294" s="28"/>
      <c r="F294" s="25" t="str">
        <f>IF(E294="","",SUMIFS(RawData!$M$2:$M$50000,RawData!$B$2:$B$50000,"="&amp;Home!$A$5,RawData!$D$2:$D$50000,"="&amp;Home!$E294))</f>
        <v/>
      </c>
      <c r="G294" s="26" t="str">
        <f>IF(E294="","",SUMIFS(RawData!$N$2:$N$50000,RawData!$B$2:$B$50000,"="&amp;Home!$A$5,RawData!$D$2:$D$50000,"="&amp;Home!$E294))</f>
        <v/>
      </c>
      <c r="H294" s="27" t="str">
        <f t="array" ref="H294">IFERROR(SUM(IF(FREQUENCY(IF(RawData!$D$2:$D$50000=Home!E294,MATCH(RawData!$H$2:$H$50000,RawData!$H$2:$H$50000,0)),ROW(RawData!$D$2:$D$50000)-ROW(RawData!$D$2)+1),RawData!$J$2:$J$50000)),"")</f>
        <v/>
      </c>
    </row>
    <row r="295" spans="5:8" x14ac:dyDescent="0.2">
      <c r="E295" s="28"/>
      <c r="F295" s="25" t="str">
        <f>IF(E295="","",SUMIFS(RawData!$M$2:$M$50000,RawData!$B$2:$B$50000,"="&amp;Home!$A$5,RawData!$D$2:$D$50000,"="&amp;Home!$E295))</f>
        <v/>
      </c>
      <c r="G295" s="26" t="str">
        <f>IF(E295="","",SUMIFS(RawData!$N$2:$N$50000,RawData!$B$2:$B$50000,"="&amp;Home!$A$5,RawData!$D$2:$D$50000,"="&amp;Home!$E295))</f>
        <v/>
      </c>
      <c r="H295" s="27" t="str">
        <f t="array" ref="H295">IFERROR(SUM(IF(FREQUENCY(IF(RawData!$D$2:$D$50000=Home!E295,MATCH(RawData!$H$2:$H$50000,RawData!$H$2:$H$50000,0)),ROW(RawData!$D$2:$D$50000)-ROW(RawData!$D$2)+1),RawData!$J$2:$J$50000)),"")</f>
        <v/>
      </c>
    </row>
    <row r="296" spans="5:8" x14ac:dyDescent="0.2">
      <c r="E296" s="28"/>
      <c r="F296" s="25" t="str">
        <f>IF(E296="","",SUMIFS(RawData!$M$2:$M$50000,RawData!$B$2:$B$50000,"="&amp;Home!$A$5,RawData!$D$2:$D$50000,"="&amp;Home!$E296))</f>
        <v/>
      </c>
      <c r="G296" s="26" t="str">
        <f>IF(E296="","",SUMIFS(RawData!$N$2:$N$50000,RawData!$B$2:$B$50000,"="&amp;Home!$A$5,RawData!$D$2:$D$50000,"="&amp;Home!$E296))</f>
        <v/>
      </c>
      <c r="H296" s="27" t="str">
        <f t="array" ref="H296">IFERROR(SUM(IF(FREQUENCY(IF(RawData!$D$2:$D$50000=Home!E296,MATCH(RawData!$H$2:$H$50000,RawData!$H$2:$H$50000,0)),ROW(RawData!$D$2:$D$50000)-ROW(RawData!$D$2)+1),RawData!$J$2:$J$50000)),"")</f>
        <v/>
      </c>
    </row>
    <row r="297" spans="5:8" x14ac:dyDescent="0.2">
      <c r="E297" s="28"/>
      <c r="F297" s="25" t="str">
        <f>IF(E297="","",SUMIFS(RawData!$M$2:$M$50000,RawData!$B$2:$B$50000,"="&amp;Home!$A$5,RawData!$D$2:$D$50000,"="&amp;Home!$E297))</f>
        <v/>
      </c>
      <c r="G297" s="26" t="str">
        <f>IF(E297="","",SUMIFS(RawData!$N$2:$N$50000,RawData!$B$2:$B$50000,"="&amp;Home!$A$5,RawData!$D$2:$D$50000,"="&amp;Home!$E297))</f>
        <v/>
      </c>
      <c r="H297" s="27" t="str">
        <f t="array" ref="H297">IFERROR(SUM(IF(FREQUENCY(IF(RawData!$D$2:$D$50000=Home!E297,MATCH(RawData!$H$2:$H$50000,RawData!$H$2:$H$50000,0)),ROW(RawData!$D$2:$D$50000)-ROW(RawData!$D$2)+1),RawData!$J$2:$J$50000)),"")</f>
        <v/>
      </c>
    </row>
    <row r="298" spans="5:8" x14ac:dyDescent="0.2">
      <c r="E298" s="28"/>
      <c r="F298" s="25" t="str">
        <f>IF(E298="","",SUMIFS(RawData!$M$2:$M$50000,RawData!$B$2:$B$50000,"="&amp;Home!$A$5,RawData!$D$2:$D$50000,"="&amp;Home!$E298))</f>
        <v/>
      </c>
      <c r="G298" s="26" t="str">
        <f>IF(E298="","",SUMIFS(RawData!$N$2:$N$50000,RawData!$B$2:$B$50000,"="&amp;Home!$A$5,RawData!$D$2:$D$50000,"="&amp;Home!$E298))</f>
        <v/>
      </c>
      <c r="H298" s="27" t="str">
        <f t="array" ref="H298">IFERROR(SUM(IF(FREQUENCY(IF(RawData!$D$2:$D$50000=Home!E298,MATCH(RawData!$H$2:$H$50000,RawData!$H$2:$H$50000,0)),ROW(RawData!$D$2:$D$50000)-ROW(RawData!$D$2)+1),RawData!$J$2:$J$50000)),"")</f>
        <v/>
      </c>
    </row>
    <row r="299" spans="5:8" x14ac:dyDescent="0.2">
      <c r="E299" s="28"/>
      <c r="F299" s="25" t="str">
        <f>IF(E299="","",SUMIFS(RawData!$M$2:$M$50000,RawData!$B$2:$B$50000,"="&amp;Home!$A$5,RawData!$D$2:$D$50000,"="&amp;Home!$E299))</f>
        <v/>
      </c>
      <c r="G299" s="26" t="str">
        <f>IF(E299="","",SUMIFS(RawData!$N$2:$N$50000,RawData!$B$2:$B$50000,"="&amp;Home!$A$5,RawData!$D$2:$D$50000,"="&amp;Home!$E299))</f>
        <v/>
      </c>
      <c r="H299" s="27" t="str">
        <f t="array" ref="H299">IFERROR(SUM(IF(FREQUENCY(IF(RawData!$D$2:$D$50000=Home!E299,MATCH(RawData!$H$2:$H$50000,RawData!$H$2:$H$50000,0)),ROW(RawData!$D$2:$D$50000)-ROW(RawData!$D$2)+1),RawData!$J$2:$J$50000)),"")</f>
        <v/>
      </c>
    </row>
    <row r="300" spans="5:8" x14ac:dyDescent="0.2">
      <c r="E300" s="28"/>
      <c r="F300" s="25" t="str">
        <f>IF(E300="","",SUMIFS(RawData!$M$2:$M$50000,RawData!$B$2:$B$50000,"="&amp;Home!$A$5,RawData!$D$2:$D$50000,"="&amp;Home!$E300))</f>
        <v/>
      </c>
      <c r="G300" s="26" t="str">
        <f>IF(E300="","",SUMIFS(RawData!$N$2:$N$50000,RawData!$B$2:$B$50000,"="&amp;Home!$A$5,RawData!$D$2:$D$50000,"="&amp;Home!$E300))</f>
        <v/>
      </c>
      <c r="H300" s="27" t="str">
        <f t="array" ref="H300">IFERROR(SUM(IF(FREQUENCY(IF(RawData!$D$2:$D$50000=Home!E300,MATCH(RawData!$H$2:$H$50000,RawData!$H$2:$H$50000,0)),ROW(RawData!$D$2:$D$50000)-ROW(RawData!$D$2)+1),RawData!$J$2:$J$50000)),"")</f>
        <v/>
      </c>
    </row>
    <row r="301" spans="5:8" x14ac:dyDescent="0.2">
      <c r="E301" s="28"/>
      <c r="F301" s="25" t="str">
        <f>IF(E301="","",SUMIFS(RawData!$M$2:$M$50000,RawData!$B$2:$B$50000,"="&amp;Home!$A$5,RawData!$D$2:$D$50000,"="&amp;Home!$E301))</f>
        <v/>
      </c>
      <c r="G301" s="26" t="str">
        <f>IF(E301="","",SUMIFS(RawData!$N$2:$N$50000,RawData!$B$2:$B$50000,"="&amp;Home!$A$5,RawData!$D$2:$D$50000,"="&amp;Home!$E301))</f>
        <v/>
      </c>
      <c r="H301" s="27" t="str">
        <f t="array" ref="H301">IFERROR(SUM(IF(FREQUENCY(IF(RawData!$D$2:$D$50000=Home!E301,MATCH(RawData!$H$2:$H$50000,RawData!$H$2:$H$50000,0)),ROW(RawData!$D$2:$D$50000)-ROW(RawData!$D$2)+1),RawData!$J$2:$J$50000)),"")</f>
        <v/>
      </c>
    </row>
    <row r="302" spans="5:8" x14ac:dyDescent="0.2">
      <c r="E302" s="28"/>
      <c r="F302" s="25" t="str">
        <f>IF(E302="","",SUMIFS(RawData!$M$2:$M$50000,RawData!$B$2:$B$50000,"="&amp;Home!$A$5,RawData!$D$2:$D$50000,"="&amp;Home!$E302))</f>
        <v/>
      </c>
      <c r="G302" s="26" t="str">
        <f>IF(E302="","",SUMIFS(RawData!$N$2:$N$50000,RawData!$B$2:$B$50000,"="&amp;Home!$A$5,RawData!$D$2:$D$50000,"="&amp;Home!$E302))</f>
        <v/>
      </c>
      <c r="H302" s="27" t="str">
        <f t="array" ref="H302">IFERROR(SUM(IF(FREQUENCY(IF(RawData!$D$2:$D$50000=Home!E302,MATCH(RawData!$H$2:$H$50000,RawData!$H$2:$H$50000,0)),ROW(RawData!$D$2:$D$50000)-ROW(RawData!$D$2)+1),RawData!$J$2:$J$50000)),"")</f>
        <v/>
      </c>
    </row>
    <row r="303" spans="5:8" x14ac:dyDescent="0.2">
      <c r="E303" s="28"/>
      <c r="F303" s="25" t="str">
        <f>IF(E303="","",SUMIFS(RawData!$M$2:$M$50000,RawData!$B$2:$B$50000,"="&amp;Home!$A$5,RawData!$D$2:$D$50000,"="&amp;Home!$E303))</f>
        <v/>
      </c>
      <c r="G303" s="26" t="str">
        <f>IF(E303="","",SUMIFS(RawData!$N$2:$N$50000,RawData!$B$2:$B$50000,"="&amp;Home!$A$5,RawData!$D$2:$D$50000,"="&amp;Home!$E303))</f>
        <v/>
      </c>
      <c r="H303" s="27" t="str">
        <f t="array" ref="H303">IFERROR(SUM(IF(FREQUENCY(IF(RawData!$D$2:$D$50000=Home!E303,MATCH(RawData!$H$2:$H$50000,RawData!$H$2:$H$50000,0)),ROW(RawData!$D$2:$D$50000)-ROW(RawData!$D$2)+1),RawData!$J$2:$J$50000)),"")</f>
        <v/>
      </c>
    </row>
    <row r="304" spans="5:8" x14ac:dyDescent="0.2">
      <c r="E304" s="28"/>
      <c r="F304" s="25" t="str">
        <f>IF(E304="","",SUMIFS(RawData!$M$2:$M$50000,RawData!$B$2:$B$50000,"="&amp;Home!$A$5,RawData!$D$2:$D$50000,"="&amp;Home!$E304))</f>
        <v/>
      </c>
      <c r="G304" s="26" t="str">
        <f>IF(E304="","",SUMIFS(RawData!$N$2:$N$50000,RawData!$B$2:$B$50000,"="&amp;Home!$A$5,RawData!$D$2:$D$50000,"="&amp;Home!$E304))</f>
        <v/>
      </c>
      <c r="H304" s="27" t="str">
        <f t="array" ref="H304">IFERROR(SUM(IF(FREQUENCY(IF(RawData!$D$2:$D$50000=Home!E304,MATCH(RawData!$H$2:$H$50000,RawData!$H$2:$H$50000,0)),ROW(RawData!$D$2:$D$50000)-ROW(RawData!$D$2)+1),RawData!$J$2:$J$50000)),"")</f>
        <v/>
      </c>
    </row>
    <row r="305" spans="5:8" x14ac:dyDescent="0.2">
      <c r="E305" s="28"/>
      <c r="F305" s="25" t="str">
        <f>IF(E305="","",SUMIFS(RawData!$M$2:$M$50000,RawData!$B$2:$B$50000,"="&amp;Home!$A$5,RawData!$D$2:$D$50000,"="&amp;Home!$E305))</f>
        <v/>
      </c>
      <c r="G305" s="26" t="str">
        <f>IF(E305="","",SUMIFS(RawData!$N$2:$N$50000,RawData!$B$2:$B$50000,"="&amp;Home!$A$5,RawData!$D$2:$D$50000,"="&amp;Home!$E305))</f>
        <v/>
      </c>
      <c r="H305" s="27" t="str">
        <f t="array" ref="H305">IFERROR(SUM(IF(FREQUENCY(IF(RawData!$D$2:$D$50000=Home!E305,MATCH(RawData!$H$2:$H$50000,RawData!$H$2:$H$50000,0)),ROW(RawData!$D$2:$D$50000)-ROW(RawData!$D$2)+1),RawData!$J$2:$J$50000)),"")</f>
        <v/>
      </c>
    </row>
    <row r="306" spans="5:8" x14ac:dyDescent="0.2">
      <c r="E306" s="28"/>
      <c r="F306" s="25" t="str">
        <f>IF(E306="","",SUMIFS(RawData!$M$2:$M$50000,RawData!$B$2:$B$50000,"="&amp;Home!$A$5,RawData!$D$2:$D$50000,"="&amp;Home!$E306))</f>
        <v/>
      </c>
      <c r="G306" s="26" t="str">
        <f>IF(E306="","",SUMIFS(RawData!$N$2:$N$50000,RawData!$B$2:$B$50000,"="&amp;Home!$A$5,RawData!$D$2:$D$50000,"="&amp;Home!$E306))</f>
        <v/>
      </c>
      <c r="H306" s="27" t="str">
        <f t="array" ref="H306">IFERROR(SUM(IF(FREQUENCY(IF(RawData!$D$2:$D$50000=Home!E306,MATCH(RawData!$H$2:$H$50000,RawData!$H$2:$H$50000,0)),ROW(RawData!$D$2:$D$50000)-ROW(RawData!$D$2)+1),RawData!$J$2:$J$50000)),"")</f>
        <v/>
      </c>
    </row>
    <row r="307" spans="5:8" x14ac:dyDescent="0.2">
      <c r="E307" s="28"/>
      <c r="F307" s="25" t="str">
        <f>IF(E307="","",SUMIFS(RawData!$M$2:$M$50000,RawData!$B$2:$B$50000,"="&amp;Home!$A$5,RawData!$D$2:$D$50000,"="&amp;Home!$E307))</f>
        <v/>
      </c>
      <c r="G307" s="26" t="str">
        <f>IF(E307="","",SUMIFS(RawData!$N$2:$N$50000,RawData!$B$2:$B$50000,"="&amp;Home!$A$5,RawData!$D$2:$D$50000,"="&amp;Home!$E307))</f>
        <v/>
      </c>
      <c r="H307" s="27" t="str">
        <f t="array" ref="H307">IFERROR(SUM(IF(FREQUENCY(IF(RawData!$D$2:$D$50000=Home!E307,MATCH(RawData!$H$2:$H$50000,RawData!$H$2:$H$50000,0)),ROW(RawData!$D$2:$D$50000)-ROW(RawData!$D$2)+1),RawData!$J$2:$J$50000)),"")</f>
        <v/>
      </c>
    </row>
    <row r="308" spans="5:8" x14ac:dyDescent="0.2">
      <c r="E308" s="28"/>
      <c r="F308" s="25" t="str">
        <f>IF(E308="","",SUMIFS(RawData!$M$2:$M$50000,RawData!$B$2:$B$50000,"="&amp;Home!$A$5,RawData!$D$2:$D$50000,"="&amp;Home!$E308))</f>
        <v/>
      </c>
      <c r="G308" s="26" t="str">
        <f>IF(E308="","",SUMIFS(RawData!$N$2:$N$50000,RawData!$B$2:$B$50000,"="&amp;Home!$A$5,RawData!$D$2:$D$50000,"="&amp;Home!$E308))</f>
        <v/>
      </c>
      <c r="H308" s="27" t="str">
        <f t="array" ref="H308">IFERROR(SUM(IF(FREQUENCY(IF(RawData!$D$2:$D$50000=Home!E308,MATCH(RawData!$H$2:$H$50000,RawData!$H$2:$H$50000,0)),ROW(RawData!$D$2:$D$50000)-ROW(RawData!$D$2)+1),RawData!$J$2:$J$50000)),"")</f>
        <v/>
      </c>
    </row>
    <row r="309" spans="5:8" x14ac:dyDescent="0.2">
      <c r="E309" s="28"/>
      <c r="F309" s="25" t="str">
        <f>IF(E309="","",SUMIFS(RawData!$M$2:$M$50000,RawData!$B$2:$B$50000,"="&amp;Home!$A$5,RawData!$D$2:$D$50000,"="&amp;Home!$E309))</f>
        <v/>
      </c>
      <c r="G309" s="26" t="str">
        <f>IF(E309="","",SUMIFS(RawData!$N$2:$N$50000,RawData!$B$2:$B$50000,"="&amp;Home!$A$5,RawData!$D$2:$D$50000,"="&amp;Home!$E309))</f>
        <v/>
      </c>
      <c r="H309" s="27" t="str">
        <f t="array" ref="H309">IFERROR(SUM(IF(FREQUENCY(IF(RawData!$D$2:$D$50000=Home!E309,MATCH(RawData!$H$2:$H$50000,RawData!$H$2:$H$50000,0)),ROW(RawData!$D$2:$D$50000)-ROW(RawData!$D$2)+1),RawData!$J$2:$J$50000)),"")</f>
        <v/>
      </c>
    </row>
    <row r="310" spans="5:8" x14ac:dyDescent="0.2">
      <c r="E310" s="28"/>
      <c r="F310" s="25" t="str">
        <f>IF(E310="","",SUMIFS(RawData!$M$2:$M$50000,RawData!$B$2:$B$50000,"="&amp;Home!$A$5,RawData!$D$2:$D$50000,"="&amp;Home!$E310))</f>
        <v/>
      </c>
      <c r="G310" s="26" t="str">
        <f>IF(E310="","",SUMIFS(RawData!$N$2:$N$50000,RawData!$B$2:$B$50000,"="&amp;Home!$A$5,RawData!$D$2:$D$50000,"="&amp;Home!$E310))</f>
        <v/>
      </c>
      <c r="H310" s="27" t="str">
        <f t="array" ref="H310">IFERROR(SUM(IF(FREQUENCY(IF(RawData!$D$2:$D$50000=Home!E310,MATCH(RawData!$H$2:$H$50000,RawData!$H$2:$H$50000,0)),ROW(RawData!$D$2:$D$50000)-ROW(RawData!$D$2)+1),RawData!$J$2:$J$50000)),"")</f>
        <v/>
      </c>
    </row>
    <row r="311" spans="5:8" x14ac:dyDescent="0.2">
      <c r="E311" s="28"/>
      <c r="F311" s="25" t="str">
        <f>IF(E311="","",SUMIFS(RawData!$M$2:$M$50000,RawData!$B$2:$B$50000,"="&amp;Home!$A$5,RawData!$D$2:$D$50000,"="&amp;Home!$E311))</f>
        <v/>
      </c>
      <c r="G311" s="26" t="str">
        <f>IF(E311="","",SUMIFS(RawData!$N$2:$N$50000,RawData!$B$2:$B$50000,"="&amp;Home!$A$5,RawData!$D$2:$D$50000,"="&amp;Home!$E311))</f>
        <v/>
      </c>
      <c r="H311" s="27" t="str">
        <f t="array" ref="H311">IFERROR(SUM(IF(FREQUENCY(IF(RawData!$D$2:$D$50000=Home!E311,MATCH(RawData!$H$2:$H$50000,RawData!$H$2:$H$50000,0)),ROW(RawData!$D$2:$D$50000)-ROW(RawData!$D$2)+1),RawData!$J$2:$J$50000)),"")</f>
        <v/>
      </c>
    </row>
    <row r="312" spans="5:8" x14ac:dyDescent="0.2">
      <c r="E312" s="28"/>
      <c r="F312" s="25" t="str">
        <f>IF(E312="","",SUMIFS(RawData!$M$2:$M$50000,RawData!$B$2:$B$50000,"="&amp;Home!$A$5,RawData!$D$2:$D$50000,"="&amp;Home!$E312))</f>
        <v/>
      </c>
      <c r="G312" s="26" t="str">
        <f>IF(E312="","",SUMIFS(RawData!$N$2:$N$50000,RawData!$B$2:$B$50000,"="&amp;Home!$A$5,RawData!$D$2:$D$50000,"="&amp;Home!$E312))</f>
        <v/>
      </c>
      <c r="H312" s="27" t="str">
        <f t="array" ref="H312">IFERROR(SUM(IF(FREQUENCY(IF(RawData!$D$2:$D$50000=Home!E312,MATCH(RawData!$H$2:$H$50000,RawData!$H$2:$H$50000,0)),ROW(RawData!$D$2:$D$50000)-ROW(RawData!$D$2)+1),RawData!$J$2:$J$50000)),"")</f>
        <v/>
      </c>
    </row>
    <row r="313" spans="5:8" x14ac:dyDescent="0.2">
      <c r="E313" s="28"/>
      <c r="F313" s="25" t="str">
        <f>IF(E313="","",SUMIFS(RawData!$M$2:$M$50000,RawData!$B$2:$B$50000,"="&amp;Home!$A$5,RawData!$D$2:$D$50000,"="&amp;Home!$E313))</f>
        <v/>
      </c>
      <c r="G313" s="26" t="str">
        <f>IF(E313="","",SUMIFS(RawData!$N$2:$N$50000,RawData!$B$2:$B$50000,"="&amp;Home!$A$5,RawData!$D$2:$D$50000,"="&amp;Home!$E313))</f>
        <v/>
      </c>
      <c r="H313" s="27" t="str">
        <f t="array" ref="H313">IFERROR(SUM(IF(FREQUENCY(IF(RawData!$D$2:$D$50000=Home!E313,MATCH(RawData!$H$2:$H$50000,RawData!$H$2:$H$50000,0)),ROW(RawData!$D$2:$D$50000)-ROW(RawData!$D$2)+1),RawData!$J$2:$J$50000)),"")</f>
        <v/>
      </c>
    </row>
    <row r="314" spans="5:8" x14ac:dyDescent="0.2">
      <c r="E314" s="28"/>
      <c r="F314" s="25" t="str">
        <f>IF(E314="","",SUMIFS(RawData!$M$2:$M$50000,RawData!$B$2:$B$50000,"="&amp;Home!$A$5,RawData!$D$2:$D$50000,"="&amp;Home!$E314))</f>
        <v/>
      </c>
      <c r="G314" s="26" t="str">
        <f>IF(E314="","",SUMIFS(RawData!$N$2:$N$50000,RawData!$B$2:$B$50000,"="&amp;Home!$A$5,RawData!$D$2:$D$50000,"="&amp;Home!$E314))</f>
        <v/>
      </c>
      <c r="H314" s="27" t="str">
        <f t="array" ref="H314">IFERROR(SUM(IF(FREQUENCY(IF(RawData!$D$2:$D$50000=Home!E314,MATCH(RawData!$H$2:$H$50000,RawData!$H$2:$H$50000,0)),ROW(RawData!$D$2:$D$50000)-ROW(RawData!$D$2)+1),RawData!$J$2:$J$50000)),"")</f>
        <v/>
      </c>
    </row>
    <row r="315" spans="5:8" x14ac:dyDescent="0.2">
      <c r="E315" s="28"/>
      <c r="F315" s="25" t="str">
        <f>IF(E315="","",SUMIFS(RawData!$M$2:$M$50000,RawData!$B$2:$B$50000,"="&amp;Home!$A$5,RawData!$D$2:$D$50000,"="&amp;Home!$E315))</f>
        <v/>
      </c>
      <c r="G315" s="26" t="str">
        <f>IF(E315="","",SUMIFS(RawData!$N$2:$N$50000,RawData!$B$2:$B$50000,"="&amp;Home!$A$5,RawData!$D$2:$D$50000,"="&amp;Home!$E315))</f>
        <v/>
      </c>
      <c r="H315" s="27" t="str">
        <f t="array" ref="H315">IFERROR(SUM(IF(FREQUENCY(IF(RawData!$D$2:$D$50000=Home!E315,MATCH(RawData!$H$2:$H$50000,RawData!$H$2:$H$50000,0)),ROW(RawData!$D$2:$D$50000)-ROW(RawData!$D$2)+1),RawData!$J$2:$J$50000)),"")</f>
        <v/>
      </c>
    </row>
    <row r="316" spans="5:8" x14ac:dyDescent="0.2">
      <c r="E316" s="28"/>
      <c r="F316" s="25" t="str">
        <f>IF(E316="","",SUMIFS(RawData!$M$2:$M$50000,RawData!$B$2:$B$50000,"="&amp;Home!$A$5,RawData!$D$2:$D$50000,"="&amp;Home!$E316))</f>
        <v/>
      </c>
      <c r="G316" s="26" t="str">
        <f>IF(E316="","",SUMIFS(RawData!$N$2:$N$50000,RawData!$B$2:$B$50000,"="&amp;Home!$A$5,RawData!$D$2:$D$50000,"="&amp;Home!$E316))</f>
        <v/>
      </c>
      <c r="H316" s="27" t="str">
        <f t="array" ref="H316">IFERROR(SUM(IF(FREQUENCY(IF(RawData!$D$2:$D$50000=Home!E316,MATCH(RawData!$H$2:$H$50000,RawData!$H$2:$H$50000,0)),ROW(RawData!$D$2:$D$50000)-ROW(RawData!$D$2)+1),RawData!$J$2:$J$50000)),"")</f>
        <v/>
      </c>
    </row>
    <row r="317" spans="5:8" x14ac:dyDescent="0.2">
      <c r="E317" s="28"/>
      <c r="F317" s="25" t="str">
        <f>IF(E317="","",SUMIFS(RawData!$M$2:$M$50000,RawData!$B$2:$B$50000,"="&amp;Home!$A$5,RawData!$D$2:$D$50000,"="&amp;Home!$E317))</f>
        <v/>
      </c>
      <c r="G317" s="26" t="str">
        <f>IF(E317="","",SUMIFS(RawData!$N$2:$N$50000,RawData!$B$2:$B$50000,"="&amp;Home!$A$5,RawData!$D$2:$D$50000,"="&amp;Home!$E317))</f>
        <v/>
      </c>
      <c r="H317" s="27" t="str">
        <f t="array" ref="H317">IFERROR(SUM(IF(FREQUENCY(IF(RawData!$D$2:$D$50000=Home!E317,MATCH(RawData!$H$2:$H$50000,RawData!$H$2:$H$50000,0)),ROW(RawData!$D$2:$D$50000)-ROW(RawData!$D$2)+1),RawData!$J$2:$J$50000)),"")</f>
        <v/>
      </c>
    </row>
    <row r="318" spans="5:8" x14ac:dyDescent="0.2">
      <c r="E318" s="28"/>
      <c r="F318" s="25" t="str">
        <f>IF(E318="","",SUMIFS(RawData!$M$2:$M$50000,RawData!$B$2:$B$50000,"="&amp;Home!$A$5,RawData!$D$2:$D$50000,"="&amp;Home!$E318))</f>
        <v/>
      </c>
      <c r="G318" s="26" t="str">
        <f>IF(E318="","",SUMIFS(RawData!$N$2:$N$50000,RawData!$B$2:$B$50000,"="&amp;Home!$A$5,RawData!$D$2:$D$50000,"="&amp;Home!$E318))</f>
        <v/>
      </c>
      <c r="H318" s="27" t="str">
        <f t="array" ref="H318">IFERROR(SUM(IF(FREQUENCY(IF(RawData!$D$2:$D$50000=Home!E318,MATCH(RawData!$H$2:$H$50000,RawData!$H$2:$H$50000,0)),ROW(RawData!$D$2:$D$50000)-ROW(RawData!$D$2)+1),RawData!$J$2:$J$50000)),"")</f>
        <v/>
      </c>
    </row>
    <row r="319" spans="5:8" x14ac:dyDescent="0.2">
      <c r="E319" s="28"/>
      <c r="F319" s="25" t="str">
        <f>IF(E319="","",SUMIFS(RawData!$M$2:$M$50000,RawData!$B$2:$B$50000,"="&amp;Home!$A$5,RawData!$D$2:$D$50000,"="&amp;Home!$E319))</f>
        <v/>
      </c>
      <c r="G319" s="26" t="str">
        <f>IF(E319="","",SUMIFS(RawData!$N$2:$N$50000,RawData!$B$2:$B$50000,"="&amp;Home!$A$5,RawData!$D$2:$D$50000,"="&amp;Home!$E319))</f>
        <v/>
      </c>
      <c r="H319" s="27" t="str">
        <f t="array" ref="H319">IFERROR(SUM(IF(FREQUENCY(IF(RawData!$D$2:$D$50000=Home!E319,MATCH(RawData!$H$2:$H$50000,RawData!$H$2:$H$50000,0)),ROW(RawData!$D$2:$D$50000)-ROW(RawData!$D$2)+1),RawData!$J$2:$J$50000)),"")</f>
        <v/>
      </c>
    </row>
    <row r="320" spans="5:8" x14ac:dyDescent="0.2">
      <c r="E320" s="28"/>
      <c r="F320" s="25" t="str">
        <f>IF(E320="","",SUMIFS(RawData!$M$2:$M$50000,RawData!$B$2:$B$50000,"="&amp;Home!$A$5,RawData!$D$2:$D$50000,"="&amp;Home!$E320))</f>
        <v/>
      </c>
      <c r="G320" s="26" t="str">
        <f>IF(E320="","",SUMIFS(RawData!$N$2:$N$50000,RawData!$B$2:$B$50000,"="&amp;Home!$A$5,RawData!$D$2:$D$50000,"="&amp;Home!$E320))</f>
        <v/>
      </c>
      <c r="H320" s="27" t="str">
        <f t="array" ref="H320">IFERROR(SUM(IF(FREQUENCY(IF(RawData!$D$2:$D$50000=Home!E320,MATCH(RawData!$H$2:$H$50000,RawData!$H$2:$H$50000,0)),ROW(RawData!$D$2:$D$50000)-ROW(RawData!$D$2)+1),RawData!$J$2:$J$50000)),"")</f>
        <v/>
      </c>
    </row>
    <row r="321" spans="5:8" x14ac:dyDescent="0.2">
      <c r="E321" s="28"/>
      <c r="F321" s="25" t="str">
        <f>IF(E321="","",SUMIFS(RawData!$M$2:$M$50000,RawData!$B$2:$B$50000,"="&amp;Home!$A$5,RawData!$D$2:$D$50000,"="&amp;Home!$E321))</f>
        <v/>
      </c>
      <c r="G321" s="26" t="str">
        <f>IF(E321="","",SUMIFS(RawData!$N$2:$N$50000,RawData!$B$2:$B$50000,"="&amp;Home!$A$5,RawData!$D$2:$D$50000,"="&amp;Home!$E321))</f>
        <v/>
      </c>
      <c r="H321" s="27" t="str">
        <f t="array" ref="H321">IFERROR(SUM(IF(FREQUENCY(IF(RawData!$D$2:$D$50000=Home!E321,MATCH(RawData!$H$2:$H$50000,RawData!$H$2:$H$50000,0)),ROW(RawData!$D$2:$D$50000)-ROW(RawData!$D$2)+1),RawData!$J$2:$J$50000)),"")</f>
        <v/>
      </c>
    </row>
    <row r="322" spans="5:8" x14ac:dyDescent="0.2">
      <c r="E322" s="28"/>
      <c r="F322" s="25" t="str">
        <f>IF(E322="","",SUMIFS(RawData!$M$2:$M$50000,RawData!$B$2:$B$50000,"="&amp;Home!$A$5,RawData!$D$2:$D$50000,"="&amp;Home!$E322))</f>
        <v/>
      </c>
      <c r="G322" s="26" t="str">
        <f>IF(E322="","",SUMIFS(RawData!$N$2:$N$50000,RawData!$B$2:$B$50000,"="&amp;Home!$A$5,RawData!$D$2:$D$50000,"="&amp;Home!$E322))</f>
        <v/>
      </c>
      <c r="H322" s="27" t="str">
        <f t="array" ref="H322">IFERROR(SUM(IF(FREQUENCY(IF(RawData!$D$2:$D$50000=Home!E322,MATCH(RawData!$H$2:$H$50000,RawData!$H$2:$H$50000,0)),ROW(RawData!$D$2:$D$50000)-ROW(RawData!$D$2)+1),RawData!$J$2:$J$50000)),"")</f>
        <v/>
      </c>
    </row>
    <row r="323" spans="5:8" x14ac:dyDescent="0.2">
      <c r="E323" s="28"/>
      <c r="F323" s="25" t="str">
        <f>IF(E323="","",SUMIFS(RawData!$M$2:$M$50000,RawData!$B$2:$B$50000,"="&amp;Home!$A$5,RawData!$D$2:$D$50000,"="&amp;Home!$E323))</f>
        <v/>
      </c>
      <c r="G323" s="26" t="str">
        <f>IF(E323="","",SUMIFS(RawData!$N$2:$N$50000,RawData!$B$2:$B$50000,"="&amp;Home!$A$5,RawData!$D$2:$D$50000,"="&amp;Home!$E323))</f>
        <v/>
      </c>
      <c r="H323" s="27" t="str">
        <f t="array" ref="H323">IFERROR(SUM(IF(FREQUENCY(IF(RawData!$D$2:$D$50000=Home!E323,MATCH(RawData!$H$2:$H$50000,RawData!$H$2:$H$50000,0)),ROW(RawData!$D$2:$D$50000)-ROW(RawData!$D$2)+1),RawData!$J$2:$J$50000)),"")</f>
        <v/>
      </c>
    </row>
    <row r="324" spans="5:8" x14ac:dyDescent="0.2">
      <c r="E324" s="28"/>
      <c r="F324" s="25" t="str">
        <f>IF(E324="","",SUMIFS(RawData!$M$2:$M$50000,RawData!$B$2:$B$50000,"="&amp;Home!$A$5,RawData!$D$2:$D$50000,"="&amp;Home!$E324))</f>
        <v/>
      </c>
      <c r="G324" s="26" t="str">
        <f>IF(E324="","",SUMIFS(RawData!$N$2:$N$50000,RawData!$B$2:$B$50000,"="&amp;Home!$A$5,RawData!$D$2:$D$50000,"="&amp;Home!$E324))</f>
        <v/>
      </c>
      <c r="H324" s="27" t="str">
        <f t="array" ref="H324">IFERROR(SUM(IF(FREQUENCY(IF(RawData!$D$2:$D$50000=Home!E324,MATCH(RawData!$H$2:$H$50000,RawData!$H$2:$H$50000,0)),ROW(RawData!$D$2:$D$50000)-ROW(RawData!$D$2)+1),RawData!$J$2:$J$50000)),"")</f>
        <v/>
      </c>
    </row>
    <row r="325" spans="5:8" x14ac:dyDescent="0.2">
      <c r="E325" s="28"/>
      <c r="F325" s="25" t="str">
        <f>IF(E325="","",SUMIFS(RawData!$M$2:$M$50000,RawData!$B$2:$B$50000,"="&amp;Home!$A$5,RawData!$D$2:$D$50000,"="&amp;Home!$E325))</f>
        <v/>
      </c>
      <c r="G325" s="26" t="str">
        <f>IF(E325="","",SUMIFS(RawData!$N$2:$N$50000,RawData!$B$2:$B$50000,"="&amp;Home!$A$5,RawData!$D$2:$D$50000,"="&amp;Home!$E325))</f>
        <v/>
      </c>
      <c r="H325" s="27" t="str">
        <f t="array" ref="H325">IFERROR(SUM(IF(FREQUENCY(IF(RawData!$D$2:$D$50000=Home!E325,MATCH(RawData!$H$2:$H$50000,RawData!$H$2:$H$50000,0)),ROW(RawData!$D$2:$D$50000)-ROW(RawData!$D$2)+1),RawData!$J$2:$J$50000)),"")</f>
        <v/>
      </c>
    </row>
    <row r="326" spans="5:8" x14ac:dyDescent="0.2">
      <c r="E326" s="28"/>
      <c r="F326" s="25" t="str">
        <f>IF(E326="","",SUMIFS(RawData!$M$2:$M$50000,RawData!$B$2:$B$50000,"="&amp;Home!$A$5,RawData!$D$2:$D$50000,"="&amp;Home!$E326))</f>
        <v/>
      </c>
      <c r="G326" s="26" t="str">
        <f>IF(E326="","",SUMIFS(RawData!$N$2:$N$50000,RawData!$B$2:$B$50000,"="&amp;Home!$A$5,RawData!$D$2:$D$50000,"="&amp;Home!$E326))</f>
        <v/>
      </c>
      <c r="H326" s="27" t="str">
        <f t="array" ref="H326">IFERROR(SUM(IF(FREQUENCY(IF(RawData!$D$2:$D$50000=Home!E326,MATCH(RawData!$H$2:$H$50000,RawData!$H$2:$H$50000,0)),ROW(RawData!$D$2:$D$50000)-ROW(RawData!$D$2)+1),RawData!$J$2:$J$50000)),"")</f>
        <v/>
      </c>
    </row>
    <row r="327" spans="5:8" x14ac:dyDescent="0.2">
      <c r="E327" s="28"/>
      <c r="F327" s="25" t="str">
        <f>IF(E327="","",SUMIFS(RawData!$M$2:$M$50000,RawData!$B$2:$B$50000,"="&amp;Home!$A$5,RawData!$D$2:$D$50000,"="&amp;Home!$E327))</f>
        <v/>
      </c>
      <c r="G327" s="26" t="str">
        <f>IF(E327="","",SUMIFS(RawData!$N$2:$N$50000,RawData!$B$2:$B$50000,"="&amp;Home!$A$5,RawData!$D$2:$D$50000,"="&amp;Home!$E327))</f>
        <v/>
      </c>
      <c r="H327" s="27" t="str">
        <f t="array" ref="H327">IFERROR(SUM(IF(FREQUENCY(IF(RawData!$D$2:$D$50000=Home!E327,MATCH(RawData!$H$2:$H$50000,RawData!$H$2:$H$50000,0)),ROW(RawData!$D$2:$D$50000)-ROW(RawData!$D$2)+1),RawData!$J$2:$J$50000)),"")</f>
        <v/>
      </c>
    </row>
    <row r="328" spans="5:8" x14ac:dyDescent="0.2">
      <c r="E328" s="28"/>
      <c r="F328" s="25" t="str">
        <f>IF(E328="","",SUMIFS(RawData!$M$2:$M$50000,RawData!$B$2:$B$50000,"="&amp;Home!$A$5,RawData!$D$2:$D$50000,"="&amp;Home!$E328))</f>
        <v/>
      </c>
      <c r="G328" s="26" t="str">
        <f>IF(E328="","",SUMIFS(RawData!$N$2:$N$50000,RawData!$B$2:$B$50000,"="&amp;Home!$A$5,RawData!$D$2:$D$50000,"="&amp;Home!$E328))</f>
        <v/>
      </c>
      <c r="H328" s="27" t="str">
        <f t="array" ref="H328">IFERROR(SUM(IF(FREQUENCY(IF(RawData!$D$2:$D$50000=Home!E328,MATCH(RawData!$H$2:$H$50000,RawData!$H$2:$H$50000,0)),ROW(RawData!$D$2:$D$50000)-ROW(RawData!$D$2)+1),RawData!$J$2:$J$50000)),"")</f>
        <v/>
      </c>
    </row>
    <row r="329" spans="5:8" x14ac:dyDescent="0.2">
      <c r="E329" s="28"/>
      <c r="F329" s="25" t="str">
        <f>IF(E329="","",SUMIFS(RawData!$M$2:$M$50000,RawData!$B$2:$B$50000,"="&amp;Home!$A$5,RawData!$D$2:$D$50000,"="&amp;Home!$E329))</f>
        <v/>
      </c>
      <c r="G329" s="26" t="str">
        <f>IF(E329="","",SUMIFS(RawData!$N$2:$N$50000,RawData!$B$2:$B$50000,"="&amp;Home!$A$5,RawData!$D$2:$D$50000,"="&amp;Home!$E329))</f>
        <v/>
      </c>
      <c r="H329" s="27" t="str">
        <f t="array" ref="H329">IFERROR(SUM(IF(FREQUENCY(IF(RawData!$D$2:$D$50000=Home!E329,MATCH(RawData!$H$2:$H$50000,RawData!$H$2:$H$50000,0)),ROW(RawData!$D$2:$D$50000)-ROW(RawData!$D$2)+1),RawData!$J$2:$J$50000)),"")</f>
        <v/>
      </c>
    </row>
    <row r="330" spans="5:8" x14ac:dyDescent="0.2">
      <c r="E330" s="28"/>
      <c r="F330" s="25" t="str">
        <f>IF(E330="","",SUMIFS(RawData!$M$2:$M$50000,RawData!$B$2:$B$50000,"="&amp;Home!$A$5,RawData!$D$2:$D$50000,"="&amp;Home!$E330))</f>
        <v/>
      </c>
      <c r="G330" s="26" t="str">
        <f>IF(E330="","",SUMIFS(RawData!$N$2:$N$50000,RawData!$B$2:$B$50000,"="&amp;Home!$A$5,RawData!$D$2:$D$50000,"="&amp;Home!$E330))</f>
        <v/>
      </c>
      <c r="H330" s="27" t="str">
        <f t="array" ref="H330">IFERROR(SUM(IF(FREQUENCY(IF(RawData!$D$2:$D$50000=Home!E330,MATCH(RawData!$H$2:$H$50000,RawData!$H$2:$H$50000,0)),ROW(RawData!$D$2:$D$50000)-ROW(RawData!$D$2)+1),RawData!$J$2:$J$50000)),"")</f>
        <v/>
      </c>
    </row>
    <row r="331" spans="5:8" x14ac:dyDescent="0.2">
      <c r="E331" s="28"/>
      <c r="F331" s="25" t="str">
        <f>IF(E331="","",SUMIFS(RawData!$M$2:$M$50000,RawData!$B$2:$B$50000,"="&amp;Home!$A$5,RawData!$D$2:$D$50000,"="&amp;Home!$E331))</f>
        <v/>
      </c>
      <c r="G331" s="26" t="str">
        <f>IF(E331="","",SUMIFS(RawData!$N$2:$N$50000,RawData!$B$2:$B$50000,"="&amp;Home!$A$5,RawData!$D$2:$D$50000,"="&amp;Home!$E331))</f>
        <v/>
      </c>
      <c r="H331" s="27" t="str">
        <f t="array" ref="H331">IFERROR(SUM(IF(FREQUENCY(IF(RawData!$D$2:$D$50000=Home!E331,MATCH(RawData!$H$2:$H$50000,RawData!$H$2:$H$50000,0)),ROW(RawData!$D$2:$D$50000)-ROW(RawData!$D$2)+1),RawData!$J$2:$J$50000)),"")</f>
        <v/>
      </c>
    </row>
    <row r="332" spans="5:8" x14ac:dyDescent="0.2">
      <c r="E332" s="28"/>
      <c r="F332" s="25" t="str">
        <f>IF(E332="","",SUMIFS(RawData!$M$2:$M$50000,RawData!$B$2:$B$50000,"="&amp;Home!$A$5,RawData!$D$2:$D$50000,"="&amp;Home!$E332))</f>
        <v/>
      </c>
      <c r="G332" s="26" t="str">
        <f>IF(E332="","",SUMIFS(RawData!$N$2:$N$50000,RawData!$B$2:$B$50000,"="&amp;Home!$A$5,RawData!$D$2:$D$50000,"="&amp;Home!$E332))</f>
        <v/>
      </c>
      <c r="H332" s="27" t="str">
        <f t="array" ref="H332">IFERROR(SUM(IF(FREQUENCY(IF(RawData!$D$2:$D$50000=Home!E332,MATCH(RawData!$H$2:$H$50000,RawData!$H$2:$H$50000,0)),ROW(RawData!$D$2:$D$50000)-ROW(RawData!$D$2)+1),RawData!$J$2:$J$50000)),"")</f>
        <v/>
      </c>
    </row>
    <row r="333" spans="5:8" x14ac:dyDescent="0.2">
      <c r="E333" s="28"/>
      <c r="F333" s="25" t="str">
        <f>IF(E333="","",SUMIFS(RawData!$M$2:$M$50000,RawData!$B$2:$B$50000,"="&amp;Home!$A$5,RawData!$D$2:$D$50000,"="&amp;Home!$E333))</f>
        <v/>
      </c>
      <c r="G333" s="26" t="str">
        <f>IF(E333="","",SUMIFS(RawData!$N$2:$N$50000,RawData!$B$2:$B$50000,"="&amp;Home!$A$5,RawData!$D$2:$D$50000,"="&amp;Home!$E333))</f>
        <v/>
      </c>
      <c r="H333" s="27" t="str">
        <f t="array" ref="H333">IFERROR(SUM(IF(FREQUENCY(IF(RawData!$D$2:$D$50000=Home!E333,MATCH(RawData!$H$2:$H$50000,RawData!$H$2:$H$50000,0)),ROW(RawData!$D$2:$D$50000)-ROW(RawData!$D$2)+1),RawData!$J$2:$J$50000)),"")</f>
        <v/>
      </c>
    </row>
    <row r="334" spans="5:8" x14ac:dyDescent="0.2">
      <c r="E334" s="28"/>
      <c r="F334" s="25" t="str">
        <f>IF(E334="","",SUMIFS(RawData!$M$2:$M$50000,RawData!$B$2:$B$50000,"="&amp;Home!$A$5,RawData!$D$2:$D$50000,"="&amp;Home!$E334))</f>
        <v/>
      </c>
      <c r="G334" s="26" t="str">
        <f>IF(E334="","",SUMIFS(RawData!$N$2:$N$50000,RawData!$B$2:$B$50000,"="&amp;Home!$A$5,RawData!$D$2:$D$50000,"="&amp;Home!$E334))</f>
        <v/>
      </c>
      <c r="H334" s="27" t="str">
        <f t="array" ref="H334">IFERROR(SUM(IF(FREQUENCY(IF(RawData!$D$2:$D$50000=Home!E334,MATCH(RawData!$H$2:$H$50000,RawData!$H$2:$H$50000,0)),ROW(RawData!$D$2:$D$50000)-ROW(RawData!$D$2)+1),RawData!$J$2:$J$50000)),"")</f>
        <v/>
      </c>
    </row>
    <row r="335" spans="5:8" x14ac:dyDescent="0.2">
      <c r="E335" s="28"/>
      <c r="F335" s="25" t="str">
        <f>IF(E335="","",SUMIFS(RawData!$M$2:$M$50000,RawData!$B$2:$B$50000,"="&amp;Home!$A$5,RawData!$D$2:$D$50000,"="&amp;Home!$E335))</f>
        <v/>
      </c>
      <c r="G335" s="26" t="str">
        <f>IF(E335="","",SUMIFS(RawData!$N$2:$N$50000,RawData!$B$2:$B$50000,"="&amp;Home!$A$5,RawData!$D$2:$D$50000,"="&amp;Home!$E335))</f>
        <v/>
      </c>
      <c r="H335" s="27" t="str">
        <f t="array" ref="H335">IFERROR(SUM(IF(FREQUENCY(IF(RawData!$D$2:$D$50000=Home!E335,MATCH(RawData!$H$2:$H$50000,RawData!$H$2:$H$50000,0)),ROW(RawData!$D$2:$D$50000)-ROW(RawData!$D$2)+1),RawData!$J$2:$J$50000)),"")</f>
        <v/>
      </c>
    </row>
    <row r="336" spans="5:8" x14ac:dyDescent="0.2">
      <c r="E336" s="28"/>
      <c r="F336" s="25" t="str">
        <f>IF(E336="","",SUMIFS(RawData!$M$2:$M$50000,RawData!$B$2:$B$50000,"="&amp;Home!$A$5,RawData!$D$2:$D$50000,"="&amp;Home!$E336))</f>
        <v/>
      </c>
      <c r="G336" s="26" t="str">
        <f>IF(E336="","",SUMIFS(RawData!$N$2:$N$50000,RawData!$B$2:$B$50000,"="&amp;Home!$A$5,RawData!$D$2:$D$50000,"="&amp;Home!$E336))</f>
        <v/>
      </c>
      <c r="H336" s="27" t="str">
        <f t="array" ref="H336">IFERROR(SUM(IF(FREQUENCY(IF(RawData!$D$2:$D$50000=Home!E336,MATCH(RawData!$H$2:$H$50000,RawData!$H$2:$H$50000,0)),ROW(RawData!$D$2:$D$50000)-ROW(RawData!$D$2)+1),RawData!$J$2:$J$50000)),"")</f>
        <v/>
      </c>
    </row>
    <row r="337" spans="5:8" x14ac:dyDescent="0.2">
      <c r="E337" s="28"/>
      <c r="F337" s="25" t="str">
        <f>IF(E337="","",SUMIFS(RawData!$M$2:$M$50000,RawData!$B$2:$B$50000,"="&amp;Home!$A$5,RawData!$D$2:$D$50000,"="&amp;Home!$E337))</f>
        <v/>
      </c>
      <c r="G337" s="26" t="str">
        <f>IF(E337="","",SUMIFS(RawData!$N$2:$N$50000,RawData!$B$2:$B$50000,"="&amp;Home!$A$5,RawData!$D$2:$D$50000,"="&amp;Home!$E337))</f>
        <v/>
      </c>
      <c r="H337" s="27" t="str">
        <f t="array" ref="H337">IFERROR(SUM(IF(FREQUENCY(IF(RawData!$D$2:$D$50000=Home!E337,MATCH(RawData!$H$2:$H$50000,RawData!$H$2:$H$50000,0)),ROW(RawData!$D$2:$D$50000)-ROW(RawData!$D$2)+1),RawData!$J$2:$J$50000)),"")</f>
        <v/>
      </c>
    </row>
    <row r="338" spans="5:8" x14ac:dyDescent="0.2">
      <c r="E338" s="28"/>
      <c r="F338" s="25" t="str">
        <f>IF(E338="","",SUMIFS(RawData!$M$2:$M$50000,RawData!$B$2:$B$50000,"="&amp;Home!$A$5,RawData!$D$2:$D$50000,"="&amp;Home!$E338))</f>
        <v/>
      </c>
      <c r="G338" s="26" t="str">
        <f>IF(E338="","",SUMIFS(RawData!$N$2:$N$50000,RawData!$B$2:$B$50000,"="&amp;Home!$A$5,RawData!$D$2:$D$50000,"="&amp;Home!$E338))</f>
        <v/>
      </c>
      <c r="H338" s="27" t="str">
        <f t="array" ref="H338">IFERROR(SUM(IF(FREQUENCY(IF(RawData!$D$2:$D$50000=Home!E338,MATCH(RawData!$H$2:$H$50000,RawData!$H$2:$H$50000,0)),ROW(RawData!$D$2:$D$50000)-ROW(RawData!$D$2)+1),RawData!$J$2:$J$50000)),"")</f>
        <v/>
      </c>
    </row>
    <row r="339" spans="5:8" x14ac:dyDescent="0.2">
      <c r="E339" s="28"/>
      <c r="F339" s="25" t="str">
        <f>IF(E339="","",SUMIFS(RawData!$M$2:$M$50000,RawData!$B$2:$B$50000,"="&amp;Home!$A$5,RawData!$D$2:$D$50000,"="&amp;Home!$E339))</f>
        <v/>
      </c>
      <c r="G339" s="26" t="str">
        <f>IF(E339="","",SUMIFS(RawData!$N$2:$N$50000,RawData!$B$2:$B$50000,"="&amp;Home!$A$5,RawData!$D$2:$D$50000,"="&amp;Home!$E339))</f>
        <v/>
      </c>
      <c r="H339" s="27" t="str">
        <f t="array" ref="H339">IFERROR(SUM(IF(FREQUENCY(IF(RawData!$D$2:$D$50000=Home!E339,MATCH(RawData!$H$2:$H$50000,RawData!$H$2:$H$50000,0)),ROW(RawData!$D$2:$D$50000)-ROW(RawData!$D$2)+1),RawData!$J$2:$J$50000)),"")</f>
        <v/>
      </c>
    </row>
    <row r="340" spans="5:8" x14ac:dyDescent="0.2">
      <c r="E340" s="28"/>
      <c r="F340" s="25" t="str">
        <f>IF(E340="","",SUMIFS(RawData!$M$2:$M$50000,RawData!$B$2:$B$50000,"="&amp;Home!$A$5,RawData!$D$2:$D$50000,"="&amp;Home!$E340))</f>
        <v/>
      </c>
      <c r="G340" s="26" t="str">
        <f>IF(E340="","",SUMIFS(RawData!$N$2:$N$50000,RawData!$B$2:$B$50000,"="&amp;Home!$A$5,RawData!$D$2:$D$50000,"="&amp;Home!$E340))</f>
        <v/>
      </c>
      <c r="H340" s="27" t="str">
        <f t="array" ref="H340">IFERROR(SUM(IF(FREQUENCY(IF(RawData!$D$2:$D$50000=Home!E340,MATCH(RawData!$H$2:$H$50000,RawData!$H$2:$H$50000,0)),ROW(RawData!$D$2:$D$50000)-ROW(RawData!$D$2)+1),RawData!$J$2:$J$50000)),"")</f>
        <v/>
      </c>
    </row>
    <row r="341" spans="5:8" x14ac:dyDescent="0.2">
      <c r="E341" s="28"/>
      <c r="F341" s="25" t="str">
        <f>IF(E341="","",SUMIFS(RawData!$M$2:$M$50000,RawData!$B$2:$B$50000,"="&amp;Home!$A$5,RawData!$D$2:$D$50000,"="&amp;Home!$E341))</f>
        <v/>
      </c>
      <c r="G341" s="26" t="str">
        <f>IF(E341="","",SUMIFS(RawData!$N$2:$N$50000,RawData!$B$2:$B$50000,"="&amp;Home!$A$5,RawData!$D$2:$D$50000,"="&amp;Home!$E341))</f>
        <v/>
      </c>
      <c r="H341" s="27" t="str">
        <f t="array" ref="H341">IFERROR(SUM(IF(FREQUENCY(IF(RawData!$D$2:$D$50000=Home!E341,MATCH(RawData!$H$2:$H$50000,RawData!$H$2:$H$50000,0)),ROW(RawData!$D$2:$D$50000)-ROW(RawData!$D$2)+1),RawData!$J$2:$J$50000)),"")</f>
        <v/>
      </c>
    </row>
    <row r="342" spans="5:8" x14ac:dyDescent="0.2">
      <c r="E342" s="28"/>
      <c r="F342" s="25" t="str">
        <f>IF(E342="","",SUMIFS(RawData!$M$2:$M$50000,RawData!$B$2:$B$50000,"="&amp;Home!$A$5,RawData!$D$2:$D$50000,"="&amp;Home!$E342))</f>
        <v/>
      </c>
      <c r="G342" s="26" t="str">
        <f>IF(E342="","",SUMIFS(RawData!$N$2:$N$50000,RawData!$B$2:$B$50000,"="&amp;Home!$A$5,RawData!$D$2:$D$50000,"="&amp;Home!$E342))</f>
        <v/>
      </c>
      <c r="H342" s="27" t="str">
        <f t="array" ref="H342">IFERROR(SUM(IF(FREQUENCY(IF(RawData!$D$2:$D$50000=Home!E342,MATCH(RawData!$H$2:$H$50000,RawData!$H$2:$H$50000,0)),ROW(RawData!$D$2:$D$50000)-ROW(RawData!$D$2)+1),RawData!$J$2:$J$50000)),"")</f>
        <v/>
      </c>
    </row>
    <row r="343" spans="5:8" x14ac:dyDescent="0.2">
      <c r="E343" s="28"/>
      <c r="F343" s="25" t="str">
        <f>IF(E343="","",SUMIFS(RawData!$M$2:$M$50000,RawData!$B$2:$B$50000,"="&amp;Home!$A$5,RawData!$D$2:$D$50000,"="&amp;Home!$E343))</f>
        <v/>
      </c>
      <c r="G343" s="26" t="str">
        <f>IF(E343="","",SUMIFS(RawData!$N$2:$N$50000,RawData!$B$2:$B$50000,"="&amp;Home!$A$5,RawData!$D$2:$D$50000,"="&amp;Home!$E343))</f>
        <v/>
      </c>
      <c r="H343" s="27" t="str">
        <f t="array" ref="H343">IFERROR(SUM(IF(FREQUENCY(IF(RawData!$D$2:$D$50000=Home!E343,MATCH(RawData!$H$2:$H$50000,RawData!$H$2:$H$50000,0)),ROW(RawData!$D$2:$D$50000)-ROW(RawData!$D$2)+1),RawData!$J$2:$J$50000)),"")</f>
        <v/>
      </c>
    </row>
    <row r="344" spans="5:8" x14ac:dyDescent="0.2">
      <c r="E344" s="28"/>
      <c r="F344" s="25" t="str">
        <f>IF(E344="","",SUMIFS(RawData!$M$2:$M$50000,RawData!$B$2:$B$50000,"="&amp;Home!$A$5,RawData!$D$2:$D$50000,"="&amp;Home!$E344))</f>
        <v/>
      </c>
      <c r="G344" s="26" t="str">
        <f>IF(E344="","",SUMIFS(RawData!$N$2:$N$50000,RawData!$B$2:$B$50000,"="&amp;Home!$A$5,RawData!$D$2:$D$50000,"="&amp;Home!$E344))</f>
        <v/>
      </c>
      <c r="H344" s="27" t="str">
        <f t="array" ref="H344">IFERROR(SUM(IF(FREQUENCY(IF(RawData!$D$2:$D$50000=Home!E344,MATCH(RawData!$H$2:$H$50000,RawData!$H$2:$H$50000,0)),ROW(RawData!$D$2:$D$50000)-ROW(RawData!$D$2)+1),RawData!$J$2:$J$50000)),"")</f>
        <v/>
      </c>
    </row>
    <row r="345" spans="5:8" x14ac:dyDescent="0.2">
      <c r="E345" s="28"/>
      <c r="F345" s="25" t="str">
        <f>IF(E345="","",SUMIFS(RawData!$M$2:$M$50000,RawData!$B$2:$B$50000,"="&amp;Home!$A$5,RawData!$D$2:$D$50000,"="&amp;Home!$E345))</f>
        <v/>
      </c>
      <c r="G345" s="26" t="str">
        <f>IF(E345="","",SUMIFS(RawData!$N$2:$N$50000,RawData!$B$2:$B$50000,"="&amp;Home!$A$5,RawData!$D$2:$D$50000,"="&amp;Home!$E345))</f>
        <v/>
      </c>
      <c r="H345" s="27" t="str">
        <f t="array" ref="H345">IFERROR(SUM(IF(FREQUENCY(IF(RawData!$D$2:$D$50000=Home!E345,MATCH(RawData!$H$2:$H$50000,RawData!$H$2:$H$50000,0)),ROW(RawData!$D$2:$D$50000)-ROW(RawData!$D$2)+1),RawData!$J$2:$J$50000)),"")</f>
        <v/>
      </c>
    </row>
    <row r="346" spans="5:8" x14ac:dyDescent="0.2">
      <c r="E346" s="28"/>
      <c r="F346" s="25" t="str">
        <f>IF(E346="","",SUMIFS(RawData!$M$2:$M$50000,RawData!$B$2:$B$50000,"="&amp;Home!$A$5,RawData!$D$2:$D$50000,"="&amp;Home!$E346))</f>
        <v/>
      </c>
      <c r="G346" s="26" t="str">
        <f>IF(E346="","",SUMIFS(RawData!$N$2:$N$50000,RawData!$B$2:$B$50000,"="&amp;Home!$A$5,RawData!$D$2:$D$50000,"="&amp;Home!$E346))</f>
        <v/>
      </c>
      <c r="H346" s="27" t="str">
        <f t="array" ref="H346">IFERROR(SUM(IF(FREQUENCY(IF(RawData!$D$2:$D$50000=Home!E346,MATCH(RawData!$H$2:$H$50000,RawData!$H$2:$H$50000,0)),ROW(RawData!$D$2:$D$50000)-ROW(RawData!$D$2)+1),RawData!$J$2:$J$50000)),"")</f>
        <v/>
      </c>
    </row>
    <row r="347" spans="5:8" x14ac:dyDescent="0.2">
      <c r="E347" s="28"/>
      <c r="F347" s="25" t="str">
        <f>IF(E347="","",SUMIFS(RawData!$M$2:$M$50000,RawData!$B$2:$B$50000,"="&amp;Home!$A$5,RawData!$D$2:$D$50000,"="&amp;Home!$E347))</f>
        <v/>
      </c>
      <c r="G347" s="26" t="str">
        <f>IF(E347="","",SUMIFS(RawData!$N$2:$N$50000,RawData!$B$2:$B$50000,"="&amp;Home!$A$5,RawData!$D$2:$D$50000,"="&amp;Home!$E347))</f>
        <v/>
      </c>
      <c r="H347" s="27" t="str">
        <f t="array" ref="H347">IFERROR(SUM(IF(FREQUENCY(IF(RawData!$D$2:$D$50000=Home!E347,MATCH(RawData!$H$2:$H$50000,RawData!$H$2:$H$50000,0)),ROW(RawData!$D$2:$D$50000)-ROW(RawData!$D$2)+1),RawData!$J$2:$J$50000)),"")</f>
        <v/>
      </c>
    </row>
    <row r="348" spans="5:8" x14ac:dyDescent="0.2">
      <c r="E348" s="28"/>
      <c r="F348" s="25" t="str">
        <f>IF(E348="","",SUMIFS(RawData!$M$2:$M$50000,RawData!$B$2:$B$50000,"="&amp;Home!$A$5,RawData!$D$2:$D$50000,"="&amp;Home!$E348))</f>
        <v/>
      </c>
      <c r="G348" s="26" t="str">
        <f>IF(E348="","",SUMIFS(RawData!$N$2:$N$50000,RawData!$B$2:$B$50000,"="&amp;Home!$A$5,RawData!$D$2:$D$50000,"="&amp;Home!$E348))</f>
        <v/>
      </c>
      <c r="H348" s="27" t="str">
        <f t="array" ref="H348">IFERROR(SUM(IF(FREQUENCY(IF(RawData!$D$2:$D$50000=Home!E348,MATCH(RawData!$H$2:$H$50000,RawData!$H$2:$H$50000,0)),ROW(RawData!$D$2:$D$50000)-ROW(RawData!$D$2)+1),RawData!$J$2:$J$50000)),"")</f>
        <v/>
      </c>
    </row>
    <row r="349" spans="5:8" x14ac:dyDescent="0.2">
      <c r="E349" s="28"/>
      <c r="F349" s="25" t="str">
        <f>IF(E349="","",SUMIFS(RawData!$M$2:$M$50000,RawData!$B$2:$B$50000,"="&amp;Home!$A$5,RawData!$D$2:$D$50000,"="&amp;Home!$E349))</f>
        <v/>
      </c>
      <c r="G349" s="26" t="str">
        <f>IF(E349="","",SUMIFS(RawData!$N$2:$N$50000,RawData!$B$2:$B$50000,"="&amp;Home!$A$5,RawData!$D$2:$D$50000,"="&amp;Home!$E349))</f>
        <v/>
      </c>
      <c r="H349" s="27" t="str">
        <f t="array" ref="H349">IFERROR(SUM(IF(FREQUENCY(IF(RawData!$D$2:$D$50000=Home!E349,MATCH(RawData!$H$2:$H$50000,RawData!$H$2:$H$50000,0)),ROW(RawData!$D$2:$D$50000)-ROW(RawData!$D$2)+1),RawData!$J$2:$J$50000)),"")</f>
        <v/>
      </c>
    </row>
    <row r="350" spans="5:8" x14ac:dyDescent="0.2">
      <c r="E350" s="28"/>
      <c r="F350" s="25" t="str">
        <f>IF(E350="","",SUMIFS(RawData!$M$2:$M$50000,RawData!$B$2:$B$50000,"="&amp;Home!$A$5,RawData!$D$2:$D$50000,"="&amp;Home!$E350))</f>
        <v/>
      </c>
      <c r="G350" s="26" t="str">
        <f>IF(E350="","",SUMIFS(RawData!$N$2:$N$50000,RawData!$B$2:$B$50000,"="&amp;Home!$A$5,RawData!$D$2:$D$50000,"="&amp;Home!$E350))</f>
        <v/>
      </c>
      <c r="H350" s="27" t="str">
        <f t="array" ref="H350">IFERROR(SUM(IF(FREQUENCY(IF(RawData!$D$2:$D$50000=Home!E350,MATCH(RawData!$H$2:$H$50000,RawData!$H$2:$H$50000,0)),ROW(RawData!$D$2:$D$50000)-ROW(RawData!$D$2)+1),RawData!$J$2:$J$50000)),"")</f>
        <v/>
      </c>
    </row>
    <row r="351" spans="5:8" x14ac:dyDescent="0.2">
      <c r="E351" s="28"/>
      <c r="F351" s="25" t="str">
        <f>IF(E351="","",SUMIFS(RawData!$M$2:$M$50000,RawData!$B$2:$B$50000,"="&amp;Home!$A$5,RawData!$D$2:$D$50000,"="&amp;Home!$E351))</f>
        <v/>
      </c>
      <c r="G351" s="26" t="str">
        <f>IF(E351="","",SUMIFS(RawData!$N$2:$N$50000,RawData!$B$2:$B$50000,"="&amp;Home!$A$5,RawData!$D$2:$D$50000,"="&amp;Home!$E351))</f>
        <v/>
      </c>
      <c r="H351" s="27" t="str">
        <f t="array" ref="H351">IFERROR(SUM(IF(FREQUENCY(IF(RawData!$D$2:$D$50000=Home!E351,MATCH(RawData!$H$2:$H$50000,RawData!$H$2:$H$50000,0)),ROW(RawData!$D$2:$D$50000)-ROW(RawData!$D$2)+1),RawData!$J$2:$J$50000)),"")</f>
        <v/>
      </c>
    </row>
    <row r="352" spans="5:8" x14ac:dyDescent="0.2">
      <c r="E352" s="28"/>
      <c r="F352" s="25" t="str">
        <f>IF(E352="","",SUMIFS(RawData!$M$2:$M$50000,RawData!$B$2:$B$50000,"="&amp;Home!$A$5,RawData!$D$2:$D$50000,"="&amp;Home!$E352))</f>
        <v/>
      </c>
      <c r="G352" s="26" t="str">
        <f>IF(E352="","",SUMIFS(RawData!$N$2:$N$50000,RawData!$B$2:$B$50000,"="&amp;Home!$A$5,RawData!$D$2:$D$50000,"="&amp;Home!$E352))</f>
        <v/>
      </c>
      <c r="H352" s="27" t="str">
        <f t="array" ref="H352">IFERROR(SUM(IF(FREQUENCY(IF(RawData!$D$2:$D$50000=Home!E352,MATCH(RawData!$H$2:$H$50000,RawData!$H$2:$H$50000,0)),ROW(RawData!$D$2:$D$50000)-ROW(RawData!$D$2)+1),RawData!$J$2:$J$50000)),"")</f>
        <v/>
      </c>
    </row>
    <row r="353" spans="5:8" x14ac:dyDescent="0.2">
      <c r="E353" s="28"/>
      <c r="F353" s="25" t="str">
        <f>IF(E353="","",SUMIFS(RawData!$M$2:$M$50000,RawData!$B$2:$B$50000,"="&amp;Home!$A$5,RawData!$D$2:$D$50000,"="&amp;Home!$E353))</f>
        <v/>
      </c>
      <c r="G353" s="26" t="str">
        <f>IF(E353="","",SUMIFS(RawData!$N$2:$N$50000,RawData!$B$2:$B$50000,"="&amp;Home!$A$5,RawData!$D$2:$D$50000,"="&amp;Home!$E353))</f>
        <v/>
      </c>
      <c r="H353" s="27" t="str">
        <f t="array" ref="H353">IFERROR(SUM(IF(FREQUENCY(IF(RawData!$D$2:$D$50000=Home!E353,MATCH(RawData!$H$2:$H$50000,RawData!$H$2:$H$50000,0)),ROW(RawData!$D$2:$D$50000)-ROW(RawData!$D$2)+1),RawData!$J$2:$J$50000)),"")</f>
        <v/>
      </c>
    </row>
    <row r="354" spans="5:8" x14ac:dyDescent="0.2">
      <c r="E354" s="28"/>
      <c r="F354" s="25" t="str">
        <f>IF(E354="","",SUMIFS(RawData!$M$2:$M$50000,RawData!$B$2:$B$50000,"="&amp;Home!$A$5,RawData!$D$2:$D$50000,"="&amp;Home!$E354))</f>
        <v/>
      </c>
      <c r="G354" s="26" t="str">
        <f>IF(E354="","",SUMIFS(RawData!$N$2:$N$50000,RawData!$B$2:$B$50000,"="&amp;Home!$A$5,RawData!$D$2:$D$50000,"="&amp;Home!$E354))</f>
        <v/>
      </c>
      <c r="H354" s="27" t="str">
        <f t="array" ref="H354">IFERROR(SUM(IF(FREQUENCY(IF(RawData!$D$2:$D$50000=Home!E354,MATCH(RawData!$H$2:$H$50000,RawData!$H$2:$H$50000,0)),ROW(RawData!$D$2:$D$50000)-ROW(RawData!$D$2)+1),RawData!$J$2:$J$50000)),"")</f>
        <v/>
      </c>
    </row>
    <row r="355" spans="5:8" x14ac:dyDescent="0.2">
      <c r="E355" s="28"/>
      <c r="F355" s="25" t="str">
        <f>IF(E355="","",SUMIFS(RawData!$M$2:$M$50000,RawData!$B$2:$B$50000,"="&amp;Home!$A$5,RawData!$D$2:$D$50000,"="&amp;Home!$E355))</f>
        <v/>
      </c>
      <c r="G355" s="26" t="str">
        <f>IF(E355="","",SUMIFS(RawData!$N$2:$N$50000,RawData!$B$2:$B$50000,"="&amp;Home!$A$5,RawData!$D$2:$D$50000,"="&amp;Home!$E355))</f>
        <v/>
      </c>
      <c r="H355" s="27" t="str">
        <f t="array" ref="H355">IFERROR(SUM(IF(FREQUENCY(IF(RawData!$D$2:$D$50000=Home!E355,MATCH(RawData!$H$2:$H$50000,RawData!$H$2:$H$50000,0)),ROW(RawData!$D$2:$D$50000)-ROW(RawData!$D$2)+1),RawData!$J$2:$J$50000)),"")</f>
        <v/>
      </c>
    </row>
    <row r="356" spans="5:8" x14ac:dyDescent="0.2">
      <c r="E356" s="28"/>
      <c r="F356" s="25" t="str">
        <f>IF(E356="","",SUMIFS(RawData!$M$2:$M$50000,RawData!$B$2:$B$50000,"="&amp;Home!$A$5,RawData!$D$2:$D$50000,"="&amp;Home!$E356))</f>
        <v/>
      </c>
      <c r="G356" s="26" t="str">
        <f>IF(E356="","",SUMIFS(RawData!$N$2:$N$50000,RawData!$B$2:$B$50000,"="&amp;Home!$A$5,RawData!$D$2:$D$50000,"="&amp;Home!$E356))</f>
        <v/>
      </c>
      <c r="H356" s="27" t="str">
        <f t="array" ref="H356">IFERROR(SUM(IF(FREQUENCY(IF(RawData!$D$2:$D$50000=Home!E356,MATCH(RawData!$H$2:$H$50000,RawData!$H$2:$H$50000,0)),ROW(RawData!$D$2:$D$50000)-ROW(RawData!$D$2)+1),RawData!$J$2:$J$50000)),"")</f>
        <v/>
      </c>
    </row>
    <row r="357" spans="5:8" x14ac:dyDescent="0.2">
      <c r="E357" s="28"/>
      <c r="F357" s="25" t="str">
        <f>IF(E357="","",SUMIFS(RawData!$M$2:$M$50000,RawData!$B$2:$B$50000,"="&amp;Home!$A$5,RawData!$D$2:$D$50000,"="&amp;Home!$E357))</f>
        <v/>
      </c>
      <c r="G357" s="26" t="str">
        <f>IF(E357="","",SUMIFS(RawData!$N$2:$N$50000,RawData!$B$2:$B$50000,"="&amp;Home!$A$5,RawData!$D$2:$D$50000,"="&amp;Home!$E357))</f>
        <v/>
      </c>
      <c r="H357" s="27" t="str">
        <f t="array" ref="H357">IFERROR(SUM(IF(FREQUENCY(IF(RawData!$D$2:$D$50000=Home!E357,MATCH(RawData!$H$2:$H$50000,RawData!$H$2:$H$50000,0)),ROW(RawData!$D$2:$D$50000)-ROW(RawData!$D$2)+1),RawData!$J$2:$J$50000)),"")</f>
        <v/>
      </c>
    </row>
    <row r="358" spans="5:8" x14ac:dyDescent="0.2">
      <c r="E358" s="28"/>
      <c r="F358" s="25" t="str">
        <f>IF(E358="","",SUMIFS(RawData!$M$2:$M$50000,RawData!$B$2:$B$50000,"="&amp;Home!$A$5,RawData!$D$2:$D$50000,"="&amp;Home!$E358))</f>
        <v/>
      </c>
      <c r="G358" s="26" t="str">
        <f>IF(E358="","",SUMIFS(RawData!$N$2:$N$50000,RawData!$B$2:$B$50000,"="&amp;Home!$A$5,RawData!$D$2:$D$50000,"="&amp;Home!$E358))</f>
        <v/>
      </c>
      <c r="H358" s="27" t="str">
        <f t="array" ref="H358">IFERROR(SUM(IF(FREQUENCY(IF(RawData!$D$2:$D$50000=Home!E358,MATCH(RawData!$H$2:$H$50000,RawData!$H$2:$H$50000,0)),ROW(RawData!$D$2:$D$50000)-ROW(RawData!$D$2)+1),RawData!$J$2:$J$50000)),"")</f>
        <v/>
      </c>
    </row>
    <row r="359" spans="5:8" x14ac:dyDescent="0.2">
      <c r="E359" s="28"/>
      <c r="F359" s="25" t="str">
        <f>IF(E359="","",SUMIFS(RawData!$M$2:$M$50000,RawData!$B$2:$B$50000,"="&amp;Home!$A$5,RawData!$D$2:$D$50000,"="&amp;Home!$E359))</f>
        <v/>
      </c>
      <c r="G359" s="26" t="str">
        <f>IF(E359="","",SUMIFS(RawData!$N$2:$N$50000,RawData!$B$2:$B$50000,"="&amp;Home!$A$5,RawData!$D$2:$D$50000,"="&amp;Home!$E359))</f>
        <v/>
      </c>
      <c r="H359" s="27" t="str">
        <f t="array" ref="H359">IFERROR(SUM(IF(FREQUENCY(IF(RawData!$D$2:$D$50000=Home!E359,MATCH(RawData!$H$2:$H$50000,RawData!$H$2:$H$50000,0)),ROW(RawData!$D$2:$D$50000)-ROW(RawData!$D$2)+1),RawData!$J$2:$J$50000)),"")</f>
        <v/>
      </c>
    </row>
    <row r="360" spans="5:8" x14ac:dyDescent="0.2">
      <c r="E360" s="28"/>
      <c r="F360" s="25" t="str">
        <f>IF(E360="","",SUMIFS(RawData!$M$2:$M$50000,RawData!$B$2:$B$50000,"="&amp;Home!$A$5,RawData!$D$2:$D$50000,"="&amp;Home!$E360))</f>
        <v/>
      </c>
      <c r="G360" s="26" t="str">
        <f>IF(E360="","",SUMIFS(RawData!$N$2:$N$50000,RawData!$B$2:$B$50000,"="&amp;Home!$A$5,RawData!$D$2:$D$50000,"="&amp;Home!$E360))</f>
        <v/>
      </c>
      <c r="H360" s="27" t="str">
        <f t="array" ref="H360">IFERROR(SUM(IF(FREQUENCY(IF(RawData!$D$2:$D$50000=Home!E360,MATCH(RawData!$H$2:$H$50000,RawData!$H$2:$H$50000,0)),ROW(RawData!$D$2:$D$50000)-ROW(RawData!$D$2)+1),RawData!$J$2:$J$50000)),"")</f>
        <v/>
      </c>
    </row>
    <row r="361" spans="5:8" x14ac:dyDescent="0.2">
      <c r="E361" s="28"/>
      <c r="F361" s="25" t="str">
        <f>IF(E361="","",SUMIFS(RawData!$M$2:$M$50000,RawData!$B$2:$B$50000,"="&amp;Home!$A$5,RawData!$D$2:$D$50000,"="&amp;Home!$E361))</f>
        <v/>
      </c>
      <c r="G361" s="26" t="str">
        <f>IF(E361="","",SUMIFS(RawData!$N$2:$N$50000,RawData!$B$2:$B$50000,"="&amp;Home!$A$5,RawData!$D$2:$D$50000,"="&amp;Home!$E361))</f>
        <v/>
      </c>
      <c r="H361" s="27" t="str">
        <f t="array" ref="H361">IFERROR(SUM(IF(FREQUENCY(IF(RawData!$D$2:$D$50000=Home!E361,MATCH(RawData!$H$2:$H$50000,RawData!$H$2:$H$50000,0)),ROW(RawData!$D$2:$D$50000)-ROW(RawData!$D$2)+1),RawData!$J$2:$J$50000)),"")</f>
        <v/>
      </c>
    </row>
    <row r="362" spans="5:8" x14ac:dyDescent="0.2">
      <c r="E362" s="28"/>
      <c r="F362" s="25" t="str">
        <f>IF(E362="","",SUMIFS(RawData!$M$2:$M$50000,RawData!$B$2:$B$50000,"="&amp;Home!$A$5,RawData!$D$2:$D$50000,"="&amp;Home!$E362))</f>
        <v/>
      </c>
      <c r="G362" s="26" t="str">
        <f>IF(E362="","",SUMIFS(RawData!$N$2:$N$50000,RawData!$B$2:$B$50000,"="&amp;Home!$A$5,RawData!$D$2:$D$50000,"="&amp;Home!$E362))</f>
        <v/>
      </c>
      <c r="H362" s="27" t="str">
        <f t="array" ref="H362">IFERROR(SUM(IF(FREQUENCY(IF(RawData!$D$2:$D$50000=Home!E362,MATCH(RawData!$H$2:$H$50000,RawData!$H$2:$H$50000,0)),ROW(RawData!$D$2:$D$50000)-ROW(RawData!$D$2)+1),RawData!$J$2:$J$50000)),"")</f>
        <v/>
      </c>
    </row>
    <row r="363" spans="5:8" x14ac:dyDescent="0.2">
      <c r="E363" s="28"/>
      <c r="F363" s="25" t="str">
        <f>IF(E363="","",SUMIFS(RawData!$M$2:$M$50000,RawData!$B$2:$B$50000,"="&amp;Home!$A$5,RawData!$D$2:$D$50000,"="&amp;Home!$E363))</f>
        <v/>
      </c>
      <c r="G363" s="26" t="str">
        <f>IF(E363="","",SUMIFS(RawData!$N$2:$N$50000,RawData!$B$2:$B$50000,"="&amp;Home!$A$5,RawData!$D$2:$D$50000,"="&amp;Home!$E363))</f>
        <v/>
      </c>
      <c r="H363" s="27" t="str">
        <f t="array" ref="H363">IFERROR(SUM(IF(FREQUENCY(IF(RawData!$D$2:$D$50000=Home!E363,MATCH(RawData!$H$2:$H$50000,RawData!$H$2:$H$50000,0)),ROW(RawData!$D$2:$D$50000)-ROW(RawData!$D$2)+1),RawData!$J$2:$J$50000)),"")</f>
        <v/>
      </c>
    </row>
    <row r="364" spans="5:8" x14ac:dyDescent="0.2">
      <c r="E364" s="28"/>
      <c r="F364" s="25" t="str">
        <f>IF(E364="","",SUMIFS(RawData!$M$2:$M$50000,RawData!$B$2:$B$50000,"="&amp;Home!$A$5,RawData!$D$2:$D$50000,"="&amp;Home!$E364))</f>
        <v/>
      </c>
      <c r="G364" s="26" t="str">
        <f>IF(E364="","",SUMIFS(RawData!$N$2:$N$50000,RawData!$B$2:$B$50000,"="&amp;Home!$A$5,RawData!$D$2:$D$50000,"="&amp;Home!$E364))</f>
        <v/>
      </c>
      <c r="H364" s="27" t="str">
        <f t="array" ref="H364">IFERROR(SUM(IF(FREQUENCY(IF(RawData!$D$2:$D$50000=Home!E364,MATCH(RawData!$H$2:$H$50000,RawData!$H$2:$H$50000,0)),ROW(RawData!$D$2:$D$50000)-ROW(RawData!$D$2)+1),RawData!$J$2:$J$50000)),"")</f>
        <v/>
      </c>
    </row>
    <row r="365" spans="5:8" x14ac:dyDescent="0.2">
      <c r="E365" s="28"/>
      <c r="F365" s="25" t="str">
        <f>IF(E365="","",SUMIFS(RawData!$M$2:$M$50000,RawData!$B$2:$B$50000,"="&amp;Home!$A$5,RawData!$D$2:$D$50000,"="&amp;Home!$E365))</f>
        <v/>
      </c>
      <c r="G365" s="26" t="str">
        <f>IF(E365="","",SUMIFS(RawData!$N$2:$N$50000,RawData!$B$2:$B$50000,"="&amp;Home!$A$5,RawData!$D$2:$D$50000,"="&amp;Home!$E365))</f>
        <v/>
      </c>
      <c r="H365" s="27" t="str">
        <f t="array" ref="H365">IFERROR(SUM(IF(FREQUENCY(IF(RawData!$D$2:$D$50000=Home!E365,MATCH(RawData!$H$2:$H$50000,RawData!$H$2:$H$50000,0)),ROW(RawData!$D$2:$D$50000)-ROW(RawData!$D$2)+1),RawData!$J$2:$J$50000)),"")</f>
        <v/>
      </c>
    </row>
    <row r="366" spans="5:8" x14ac:dyDescent="0.2">
      <c r="E366" s="28"/>
      <c r="F366" s="25" t="str">
        <f>IF(E366="","",SUMIFS(RawData!$M$2:$M$50000,RawData!$B$2:$B$50000,"="&amp;Home!$A$5,RawData!$D$2:$D$50000,"="&amp;Home!$E366))</f>
        <v/>
      </c>
      <c r="G366" s="26" t="str">
        <f>IF(E366="","",SUMIFS(RawData!$N$2:$N$50000,RawData!$B$2:$B$50000,"="&amp;Home!$A$5,RawData!$D$2:$D$50000,"="&amp;Home!$E366))</f>
        <v/>
      </c>
      <c r="H366" s="27" t="str">
        <f t="array" ref="H366">IFERROR(SUM(IF(FREQUENCY(IF(RawData!$D$2:$D$50000=Home!E366,MATCH(RawData!$H$2:$H$50000,RawData!$H$2:$H$50000,0)),ROW(RawData!$D$2:$D$50000)-ROW(RawData!$D$2)+1),RawData!$J$2:$J$50000)),"")</f>
        <v/>
      </c>
    </row>
    <row r="367" spans="5:8" x14ac:dyDescent="0.2">
      <c r="E367" s="28"/>
      <c r="F367" s="25" t="str">
        <f>IF(E367="","",SUMIFS(RawData!$M$2:$M$50000,RawData!$B$2:$B$50000,"="&amp;Home!$A$5,RawData!$D$2:$D$50000,"="&amp;Home!$E367))</f>
        <v/>
      </c>
      <c r="G367" s="26" t="str">
        <f>IF(E367="","",SUMIFS(RawData!$N$2:$N$50000,RawData!$B$2:$B$50000,"="&amp;Home!$A$5,RawData!$D$2:$D$50000,"="&amp;Home!$E367))</f>
        <v/>
      </c>
      <c r="H367" s="27" t="str">
        <f t="array" ref="H367">IFERROR(SUM(IF(FREQUENCY(IF(RawData!$D$2:$D$50000=Home!E367,MATCH(RawData!$H$2:$H$50000,RawData!$H$2:$H$50000,0)),ROW(RawData!$D$2:$D$50000)-ROW(RawData!$D$2)+1),RawData!$J$2:$J$50000)),"")</f>
        <v/>
      </c>
    </row>
    <row r="368" spans="5:8" x14ac:dyDescent="0.2">
      <c r="E368" s="28"/>
      <c r="F368" s="25" t="str">
        <f>IF(E368="","",SUMIFS(RawData!$M$2:$M$50000,RawData!$B$2:$B$50000,"="&amp;Home!$A$5,RawData!$D$2:$D$50000,"="&amp;Home!$E368))</f>
        <v/>
      </c>
      <c r="G368" s="26" t="str">
        <f>IF(E368="","",SUMIFS(RawData!$N$2:$N$50000,RawData!$B$2:$B$50000,"="&amp;Home!$A$5,RawData!$D$2:$D$50000,"="&amp;Home!$E368))</f>
        <v/>
      </c>
      <c r="H368" s="27" t="str">
        <f t="array" ref="H368">IFERROR(SUM(IF(FREQUENCY(IF(RawData!$D$2:$D$50000=Home!E368,MATCH(RawData!$H$2:$H$50000,RawData!$H$2:$H$50000,0)),ROW(RawData!$D$2:$D$50000)-ROW(RawData!$D$2)+1),RawData!$J$2:$J$50000)),"")</f>
        <v/>
      </c>
    </row>
    <row r="369" spans="5:8" x14ac:dyDescent="0.2">
      <c r="E369" s="28"/>
      <c r="F369" s="25" t="str">
        <f>IF(E369="","",SUMIFS(RawData!$M$2:$M$50000,RawData!$B$2:$B$50000,"="&amp;Home!$A$5,RawData!$D$2:$D$50000,"="&amp;Home!$E369))</f>
        <v/>
      </c>
      <c r="G369" s="26" t="str">
        <f>IF(E369="","",SUMIFS(RawData!$N$2:$N$50000,RawData!$B$2:$B$50000,"="&amp;Home!$A$5,RawData!$D$2:$D$50000,"="&amp;Home!$E369))</f>
        <v/>
      </c>
      <c r="H369" s="27" t="str">
        <f t="array" ref="H369">IFERROR(SUM(IF(FREQUENCY(IF(RawData!$D$2:$D$50000=Home!E369,MATCH(RawData!$H$2:$H$50000,RawData!$H$2:$H$50000,0)),ROW(RawData!$D$2:$D$50000)-ROW(RawData!$D$2)+1),RawData!$J$2:$J$50000)),"")</f>
        <v/>
      </c>
    </row>
    <row r="370" spans="5:8" x14ac:dyDescent="0.2">
      <c r="E370" s="28"/>
      <c r="F370" s="25" t="str">
        <f>IF(E370="","",SUMIFS(RawData!$M$2:$M$50000,RawData!$B$2:$B$50000,"="&amp;Home!$A$5,RawData!$D$2:$D$50000,"="&amp;Home!$E370))</f>
        <v/>
      </c>
      <c r="G370" s="26" t="str">
        <f>IF(E370="","",SUMIFS(RawData!$N$2:$N$50000,RawData!$B$2:$B$50000,"="&amp;Home!$A$5,RawData!$D$2:$D$50000,"="&amp;Home!$E370))</f>
        <v/>
      </c>
      <c r="H370" s="27" t="str">
        <f t="array" ref="H370">IFERROR(SUM(IF(FREQUENCY(IF(RawData!$D$2:$D$50000=Home!E370,MATCH(RawData!$H$2:$H$50000,RawData!$H$2:$H$50000,0)),ROW(RawData!$D$2:$D$50000)-ROW(RawData!$D$2)+1),RawData!$J$2:$J$50000)),"")</f>
        <v/>
      </c>
    </row>
    <row r="371" spans="5:8" x14ac:dyDescent="0.2">
      <c r="E371" s="28"/>
      <c r="F371" s="25" t="str">
        <f>IF(E371="","",SUMIFS(RawData!$M$2:$M$50000,RawData!$B$2:$B$50000,"="&amp;Home!$A$5,RawData!$D$2:$D$50000,"="&amp;Home!$E371))</f>
        <v/>
      </c>
      <c r="G371" s="26" t="str">
        <f>IF(E371="","",SUMIFS(RawData!$N$2:$N$50000,RawData!$B$2:$B$50000,"="&amp;Home!$A$5,RawData!$D$2:$D$50000,"="&amp;Home!$E371))</f>
        <v/>
      </c>
      <c r="H371" s="27" t="str">
        <f t="array" ref="H371">IFERROR(SUM(IF(FREQUENCY(IF(RawData!$D$2:$D$50000=Home!E371,MATCH(RawData!$H$2:$H$50000,RawData!$H$2:$H$50000,0)),ROW(RawData!$D$2:$D$50000)-ROW(RawData!$D$2)+1),RawData!$J$2:$J$50000)),"")</f>
        <v/>
      </c>
    </row>
    <row r="372" spans="5:8" x14ac:dyDescent="0.2">
      <c r="E372" s="28"/>
      <c r="F372" s="25" t="str">
        <f>IF(E372="","",SUMIFS(RawData!$M$2:$M$50000,RawData!$B$2:$B$50000,"="&amp;Home!$A$5,RawData!$D$2:$D$50000,"="&amp;Home!$E372))</f>
        <v/>
      </c>
      <c r="G372" s="26" t="str">
        <f>IF(E372="","",SUMIFS(RawData!$N$2:$N$50000,RawData!$B$2:$B$50000,"="&amp;Home!$A$5,RawData!$D$2:$D$50000,"="&amp;Home!$E372))</f>
        <v/>
      </c>
      <c r="H372" s="27" t="str">
        <f t="array" ref="H372">IFERROR(SUM(IF(FREQUENCY(IF(RawData!$D$2:$D$50000=Home!E372,MATCH(RawData!$H$2:$H$50000,RawData!$H$2:$H$50000,0)),ROW(RawData!$D$2:$D$50000)-ROW(RawData!$D$2)+1),RawData!$J$2:$J$50000)),"")</f>
        <v/>
      </c>
    </row>
    <row r="373" spans="5:8" x14ac:dyDescent="0.2">
      <c r="E373" s="28"/>
      <c r="F373" s="25" t="str">
        <f>IF(E373="","",SUMIFS(RawData!$M$2:$M$50000,RawData!$B$2:$B$50000,"="&amp;Home!$A$5,RawData!$D$2:$D$50000,"="&amp;Home!$E373))</f>
        <v/>
      </c>
      <c r="G373" s="26" t="str">
        <f>IF(E373="","",SUMIFS(RawData!$N$2:$N$50000,RawData!$B$2:$B$50000,"="&amp;Home!$A$5,RawData!$D$2:$D$50000,"="&amp;Home!$E373))</f>
        <v/>
      </c>
      <c r="H373" s="27" t="str">
        <f t="array" ref="H373">IFERROR(SUM(IF(FREQUENCY(IF(RawData!$D$2:$D$50000=Home!E373,MATCH(RawData!$H$2:$H$50000,RawData!$H$2:$H$50000,0)),ROW(RawData!$D$2:$D$50000)-ROW(RawData!$D$2)+1),RawData!$J$2:$J$50000)),"")</f>
        <v/>
      </c>
    </row>
    <row r="374" spans="5:8" x14ac:dyDescent="0.2">
      <c r="E374" s="28"/>
      <c r="F374" s="25" t="str">
        <f>IF(E374="","",SUMIFS(RawData!$M$2:$M$50000,RawData!$B$2:$B$50000,"="&amp;Home!$A$5,RawData!$D$2:$D$50000,"="&amp;Home!$E374))</f>
        <v/>
      </c>
      <c r="G374" s="26" t="str">
        <f>IF(E374="","",SUMIFS(RawData!$N$2:$N$50000,RawData!$B$2:$B$50000,"="&amp;Home!$A$5,RawData!$D$2:$D$50000,"="&amp;Home!$E374))</f>
        <v/>
      </c>
      <c r="H374" s="27" t="str">
        <f t="array" ref="H374">IFERROR(SUM(IF(FREQUENCY(IF(RawData!$D$2:$D$50000=Home!E374,MATCH(RawData!$H$2:$H$50000,RawData!$H$2:$H$50000,0)),ROW(RawData!$D$2:$D$50000)-ROW(RawData!$D$2)+1),RawData!$J$2:$J$50000)),"")</f>
        <v/>
      </c>
    </row>
    <row r="375" spans="5:8" x14ac:dyDescent="0.2">
      <c r="E375" s="28"/>
      <c r="F375" s="25" t="str">
        <f>IF(E375="","",SUMIFS(RawData!$M$2:$M$50000,RawData!$B$2:$B$50000,"="&amp;Home!$A$5,RawData!$D$2:$D$50000,"="&amp;Home!$E375))</f>
        <v/>
      </c>
      <c r="G375" s="26" t="str">
        <f>IF(E375="","",SUMIFS(RawData!$N$2:$N$50000,RawData!$B$2:$B$50000,"="&amp;Home!$A$5,RawData!$D$2:$D$50000,"="&amp;Home!$E375))</f>
        <v/>
      </c>
      <c r="H375" s="27" t="str">
        <f t="array" ref="H375">IFERROR(SUM(IF(FREQUENCY(IF(RawData!$D$2:$D$50000=Home!E375,MATCH(RawData!$H$2:$H$50000,RawData!$H$2:$H$50000,0)),ROW(RawData!$D$2:$D$50000)-ROW(RawData!$D$2)+1),RawData!$J$2:$J$50000)),"")</f>
        <v/>
      </c>
    </row>
    <row r="376" spans="5:8" x14ac:dyDescent="0.2">
      <c r="E376" s="28"/>
      <c r="F376" s="25" t="str">
        <f>IF(E376="","",SUMIFS(RawData!$M$2:$M$50000,RawData!$B$2:$B$50000,"="&amp;Home!$A$5,RawData!$D$2:$D$50000,"="&amp;Home!$E376))</f>
        <v/>
      </c>
      <c r="G376" s="26" t="str">
        <f>IF(E376="","",SUMIFS(RawData!$N$2:$N$50000,RawData!$B$2:$B$50000,"="&amp;Home!$A$5,RawData!$D$2:$D$50000,"="&amp;Home!$E376))</f>
        <v/>
      </c>
      <c r="H376" s="27" t="str">
        <f t="array" ref="H376">IFERROR(SUM(IF(FREQUENCY(IF(RawData!$D$2:$D$50000=Home!E376,MATCH(RawData!$H$2:$H$50000,RawData!$H$2:$H$50000,0)),ROW(RawData!$D$2:$D$50000)-ROW(RawData!$D$2)+1),RawData!$J$2:$J$50000)),"")</f>
        <v/>
      </c>
    </row>
    <row r="377" spans="5:8" x14ac:dyDescent="0.2">
      <c r="E377" s="28"/>
      <c r="F377" s="25" t="str">
        <f>IF(E377="","",SUMIFS(RawData!$M$2:$M$50000,RawData!$B$2:$B$50000,"="&amp;Home!$A$5,RawData!$D$2:$D$50000,"="&amp;Home!$E377))</f>
        <v/>
      </c>
      <c r="G377" s="26" t="str">
        <f>IF(E377="","",SUMIFS(RawData!$N$2:$N$50000,RawData!$B$2:$B$50000,"="&amp;Home!$A$5,RawData!$D$2:$D$50000,"="&amp;Home!$E377))</f>
        <v/>
      </c>
      <c r="H377" s="27" t="str">
        <f t="array" ref="H377">IFERROR(SUM(IF(FREQUENCY(IF(RawData!$D$2:$D$50000=Home!E377,MATCH(RawData!$H$2:$H$50000,RawData!$H$2:$H$50000,0)),ROW(RawData!$D$2:$D$50000)-ROW(RawData!$D$2)+1),RawData!$J$2:$J$50000)),"")</f>
        <v/>
      </c>
    </row>
    <row r="378" spans="5:8" x14ac:dyDescent="0.2">
      <c r="E378" s="28"/>
      <c r="F378" s="25" t="str">
        <f>IF(E378="","",SUMIFS(RawData!$M$2:$M$50000,RawData!$B$2:$B$50000,"="&amp;Home!$A$5,RawData!$D$2:$D$50000,"="&amp;Home!$E378))</f>
        <v/>
      </c>
      <c r="G378" s="26" t="str">
        <f>IF(E378="","",SUMIFS(RawData!$N$2:$N$50000,RawData!$B$2:$B$50000,"="&amp;Home!$A$5,RawData!$D$2:$D$50000,"="&amp;Home!$E378))</f>
        <v/>
      </c>
      <c r="H378" s="27" t="str">
        <f t="array" ref="H378">IFERROR(SUM(IF(FREQUENCY(IF(RawData!$D$2:$D$50000=Home!E378,MATCH(RawData!$H$2:$H$50000,RawData!$H$2:$H$50000,0)),ROW(RawData!$D$2:$D$50000)-ROW(RawData!$D$2)+1),RawData!$J$2:$J$50000)),"")</f>
        <v/>
      </c>
    </row>
    <row r="379" spans="5:8" x14ac:dyDescent="0.2">
      <c r="E379" s="28"/>
      <c r="F379" s="25" t="str">
        <f>IF(E379="","",SUMIFS(RawData!$M$2:$M$50000,RawData!$B$2:$B$50000,"="&amp;Home!$A$5,RawData!$D$2:$D$50000,"="&amp;Home!$E379))</f>
        <v/>
      </c>
      <c r="G379" s="26" t="str">
        <f>IF(E379="","",SUMIFS(RawData!$N$2:$N$50000,RawData!$B$2:$B$50000,"="&amp;Home!$A$5,RawData!$D$2:$D$50000,"="&amp;Home!$E379))</f>
        <v/>
      </c>
      <c r="H379" s="27" t="str">
        <f t="array" ref="H379">IFERROR(SUM(IF(FREQUENCY(IF(RawData!$D$2:$D$50000=Home!E379,MATCH(RawData!$H$2:$H$50000,RawData!$H$2:$H$50000,0)),ROW(RawData!$D$2:$D$50000)-ROW(RawData!$D$2)+1),RawData!$J$2:$J$50000)),"")</f>
        <v/>
      </c>
    </row>
    <row r="380" spans="5:8" x14ac:dyDescent="0.2">
      <c r="E380" s="28"/>
      <c r="F380" s="25" t="str">
        <f>IF(E380="","",SUMIFS(RawData!$M$2:$M$50000,RawData!$B$2:$B$50000,"="&amp;Home!$A$5,RawData!$D$2:$D$50000,"="&amp;Home!$E380))</f>
        <v/>
      </c>
      <c r="G380" s="26" t="str">
        <f>IF(E380="","",SUMIFS(RawData!$N$2:$N$50000,RawData!$B$2:$B$50000,"="&amp;Home!$A$5,RawData!$D$2:$D$50000,"="&amp;Home!$E380))</f>
        <v/>
      </c>
      <c r="H380" s="27" t="str">
        <f t="array" ref="H380">IFERROR(SUM(IF(FREQUENCY(IF(RawData!$D$2:$D$50000=Home!E380,MATCH(RawData!$H$2:$H$50000,RawData!$H$2:$H$50000,0)),ROW(RawData!$D$2:$D$50000)-ROW(RawData!$D$2)+1),RawData!$J$2:$J$50000)),"")</f>
        <v/>
      </c>
    </row>
    <row r="381" spans="5:8" x14ac:dyDescent="0.2">
      <c r="E381" s="28"/>
      <c r="F381" s="25" t="str">
        <f>IF(E381="","",SUMIFS(RawData!$M$2:$M$50000,RawData!$B$2:$B$50000,"="&amp;Home!$A$5,RawData!$D$2:$D$50000,"="&amp;Home!$E381))</f>
        <v/>
      </c>
      <c r="G381" s="26" t="str">
        <f>IF(E381="","",SUMIFS(RawData!$N$2:$N$50000,RawData!$B$2:$B$50000,"="&amp;Home!$A$5,RawData!$D$2:$D$50000,"="&amp;Home!$E381))</f>
        <v/>
      </c>
      <c r="H381" s="27" t="str">
        <f t="array" ref="H381">IFERROR(SUM(IF(FREQUENCY(IF(RawData!$D$2:$D$50000=Home!E381,MATCH(RawData!$H$2:$H$50000,RawData!$H$2:$H$50000,0)),ROW(RawData!$D$2:$D$50000)-ROW(RawData!$D$2)+1),RawData!$J$2:$J$50000)),"")</f>
        <v/>
      </c>
    </row>
    <row r="382" spans="5:8" x14ac:dyDescent="0.2">
      <c r="E382" s="28"/>
      <c r="F382" s="25" t="str">
        <f>IF(E382="","",SUMIFS(RawData!$M$2:$M$50000,RawData!$B$2:$B$50000,"="&amp;Home!$A$5,RawData!$D$2:$D$50000,"="&amp;Home!$E382))</f>
        <v/>
      </c>
      <c r="G382" s="26" t="str">
        <f>IF(E382="","",SUMIFS(RawData!$N$2:$N$50000,RawData!$B$2:$B$50000,"="&amp;Home!$A$5,RawData!$D$2:$D$50000,"="&amp;Home!$E382))</f>
        <v/>
      </c>
      <c r="H382" s="27" t="str">
        <f t="array" ref="H382">IFERROR(SUM(IF(FREQUENCY(IF(RawData!$D$2:$D$50000=Home!E382,MATCH(RawData!$H$2:$H$50000,RawData!$H$2:$H$50000,0)),ROW(RawData!$D$2:$D$50000)-ROW(RawData!$D$2)+1),RawData!$J$2:$J$50000)),"")</f>
        <v/>
      </c>
    </row>
    <row r="383" spans="5:8" x14ac:dyDescent="0.2">
      <c r="E383" s="28"/>
      <c r="F383" s="25" t="str">
        <f>IF(E383="","",SUMIFS(RawData!$M$2:$M$50000,RawData!$B$2:$B$50000,"="&amp;Home!$A$5,RawData!$D$2:$D$50000,"="&amp;Home!$E383))</f>
        <v/>
      </c>
      <c r="G383" s="26" t="str">
        <f>IF(E383="","",SUMIFS(RawData!$N$2:$N$50000,RawData!$B$2:$B$50000,"="&amp;Home!$A$5,RawData!$D$2:$D$50000,"="&amp;Home!$E383))</f>
        <v/>
      </c>
      <c r="H383" s="27" t="str">
        <f t="array" ref="H383">IFERROR(SUM(IF(FREQUENCY(IF(RawData!$D$2:$D$50000=Home!E383,MATCH(RawData!$H$2:$H$50000,RawData!$H$2:$H$50000,0)),ROW(RawData!$D$2:$D$50000)-ROW(RawData!$D$2)+1),RawData!$J$2:$J$50000)),"")</f>
        <v/>
      </c>
    </row>
    <row r="384" spans="5:8" x14ac:dyDescent="0.2">
      <c r="E384" s="28"/>
      <c r="F384" s="25" t="str">
        <f>IF(E384="","",SUMIFS(RawData!$M$2:$M$50000,RawData!$B$2:$B$50000,"="&amp;Home!$A$5,RawData!$D$2:$D$50000,"="&amp;Home!$E384))</f>
        <v/>
      </c>
      <c r="G384" s="26" t="str">
        <f>IF(E384="","",SUMIFS(RawData!$N$2:$N$50000,RawData!$B$2:$B$50000,"="&amp;Home!$A$5,RawData!$D$2:$D$50000,"="&amp;Home!$E384))</f>
        <v/>
      </c>
      <c r="H384" s="27" t="str">
        <f t="array" ref="H384">IFERROR(SUM(IF(FREQUENCY(IF(RawData!$D$2:$D$50000=Home!E384,MATCH(RawData!$H$2:$H$50000,RawData!$H$2:$H$50000,0)),ROW(RawData!$D$2:$D$50000)-ROW(RawData!$D$2)+1),RawData!$J$2:$J$50000)),"")</f>
        <v/>
      </c>
    </row>
    <row r="385" spans="5:8" x14ac:dyDescent="0.2">
      <c r="E385" s="28"/>
      <c r="F385" s="25" t="str">
        <f>IF(E385="","",SUMIFS(RawData!$M$2:$M$50000,RawData!$B$2:$B$50000,"="&amp;Home!$A$5,RawData!$D$2:$D$50000,"="&amp;Home!$E385))</f>
        <v/>
      </c>
      <c r="G385" s="26" t="str">
        <f>IF(E385="","",SUMIFS(RawData!$N$2:$N$50000,RawData!$B$2:$B$50000,"="&amp;Home!$A$5,RawData!$D$2:$D$50000,"="&amp;Home!$E385))</f>
        <v/>
      </c>
      <c r="H385" s="27" t="str">
        <f t="array" ref="H385">IFERROR(SUM(IF(FREQUENCY(IF(RawData!$D$2:$D$50000=Home!E385,MATCH(RawData!$H$2:$H$50000,RawData!$H$2:$H$50000,0)),ROW(RawData!$D$2:$D$50000)-ROW(RawData!$D$2)+1),RawData!$J$2:$J$50000)),"")</f>
        <v/>
      </c>
    </row>
    <row r="386" spans="5:8" x14ac:dyDescent="0.2">
      <c r="E386" s="28"/>
      <c r="F386" s="25" t="str">
        <f>IF(E386="","",SUMIFS(RawData!$M$2:$M$50000,RawData!$B$2:$B$50000,"="&amp;Home!$A$5,RawData!$D$2:$D$50000,"="&amp;Home!$E386))</f>
        <v/>
      </c>
      <c r="G386" s="26" t="str">
        <f>IF(E386="","",SUMIFS(RawData!$N$2:$N$50000,RawData!$B$2:$B$50000,"="&amp;Home!$A$5,RawData!$D$2:$D$50000,"="&amp;Home!$E386))</f>
        <v/>
      </c>
      <c r="H386" s="27" t="str">
        <f t="array" ref="H386">IFERROR(SUM(IF(FREQUENCY(IF(RawData!$D$2:$D$50000=Home!E386,MATCH(RawData!$H$2:$H$50000,RawData!$H$2:$H$50000,0)),ROW(RawData!$D$2:$D$50000)-ROW(RawData!$D$2)+1),RawData!$J$2:$J$50000)),"")</f>
        <v/>
      </c>
    </row>
    <row r="387" spans="5:8" x14ac:dyDescent="0.2">
      <c r="E387" s="28"/>
      <c r="F387" s="25" t="str">
        <f>IF(E387="","",SUMIFS(RawData!$M$2:$M$50000,RawData!$B$2:$B$50000,"="&amp;Home!$A$5,RawData!$D$2:$D$50000,"="&amp;Home!$E387))</f>
        <v/>
      </c>
      <c r="G387" s="26" t="str">
        <f>IF(E387="","",SUMIFS(RawData!$N$2:$N$50000,RawData!$B$2:$B$50000,"="&amp;Home!$A$5,RawData!$D$2:$D$50000,"="&amp;Home!$E387))</f>
        <v/>
      </c>
      <c r="H387" s="27" t="str">
        <f t="array" ref="H387">IFERROR(SUM(IF(FREQUENCY(IF(RawData!$D$2:$D$50000=Home!E387,MATCH(RawData!$H$2:$H$50000,RawData!$H$2:$H$50000,0)),ROW(RawData!$D$2:$D$50000)-ROW(RawData!$D$2)+1),RawData!$J$2:$J$50000)),"")</f>
        <v/>
      </c>
    </row>
    <row r="388" spans="5:8" x14ac:dyDescent="0.2">
      <c r="E388" s="28"/>
      <c r="F388" s="25" t="str">
        <f>IF(E388="","",SUMIFS(RawData!$M$2:$M$50000,RawData!$B$2:$B$50000,"="&amp;Home!$A$5,RawData!$D$2:$D$50000,"="&amp;Home!$E388))</f>
        <v/>
      </c>
      <c r="G388" s="26" t="str">
        <f>IF(E388="","",SUMIFS(RawData!$N$2:$N$50000,RawData!$B$2:$B$50000,"="&amp;Home!$A$5,RawData!$D$2:$D$50000,"="&amp;Home!$E388))</f>
        <v/>
      </c>
      <c r="H388" s="27" t="str">
        <f t="array" ref="H388">IFERROR(SUM(IF(FREQUENCY(IF(RawData!$D$2:$D$50000=Home!E388,MATCH(RawData!$H$2:$H$50000,RawData!$H$2:$H$50000,0)),ROW(RawData!$D$2:$D$50000)-ROW(RawData!$D$2)+1),RawData!$J$2:$J$50000)),"")</f>
        <v/>
      </c>
    </row>
    <row r="389" spans="5:8" x14ac:dyDescent="0.2">
      <c r="E389" s="28"/>
      <c r="F389" s="25" t="str">
        <f>IF(E389="","",SUMIFS(RawData!$M$2:$M$50000,RawData!$B$2:$B$50000,"="&amp;Home!$A$5,RawData!$D$2:$D$50000,"="&amp;Home!$E389))</f>
        <v/>
      </c>
      <c r="G389" s="26" t="str">
        <f>IF(E389="","",SUMIFS(RawData!$N$2:$N$50000,RawData!$B$2:$B$50000,"="&amp;Home!$A$5,RawData!$D$2:$D$50000,"="&amp;Home!$E389))</f>
        <v/>
      </c>
      <c r="H389" s="27" t="str">
        <f t="array" ref="H389">IFERROR(SUM(IF(FREQUENCY(IF(RawData!$D$2:$D$50000=Home!E389,MATCH(RawData!$H$2:$H$50000,RawData!$H$2:$H$50000,0)),ROW(RawData!$D$2:$D$50000)-ROW(RawData!$D$2)+1),RawData!$J$2:$J$50000)),"")</f>
        <v/>
      </c>
    </row>
    <row r="390" spans="5:8" x14ac:dyDescent="0.2">
      <c r="E390" s="28"/>
      <c r="F390" s="25" t="str">
        <f>IF(E390="","",SUMIFS(RawData!$M$2:$M$50000,RawData!$B$2:$B$50000,"="&amp;Home!$A$5,RawData!$D$2:$D$50000,"="&amp;Home!$E390))</f>
        <v/>
      </c>
      <c r="G390" s="26" t="str">
        <f>IF(E390="","",SUMIFS(RawData!$N$2:$N$50000,RawData!$B$2:$B$50000,"="&amp;Home!$A$5,RawData!$D$2:$D$50000,"="&amp;Home!$E390))</f>
        <v/>
      </c>
      <c r="H390" s="27" t="str">
        <f t="array" ref="H390">IFERROR(SUM(IF(FREQUENCY(IF(RawData!$D$2:$D$50000=Home!E390,MATCH(RawData!$H$2:$H$50000,RawData!$H$2:$H$50000,0)),ROW(RawData!$D$2:$D$50000)-ROW(RawData!$D$2)+1),RawData!$J$2:$J$50000)),"")</f>
        <v/>
      </c>
    </row>
    <row r="391" spans="5:8" x14ac:dyDescent="0.2">
      <c r="E391" s="28"/>
      <c r="F391" s="25" t="str">
        <f>IF(E391="","",SUMIFS(RawData!$M$2:$M$50000,RawData!$B$2:$B$50000,"="&amp;Home!$A$5,RawData!$D$2:$D$50000,"="&amp;Home!$E391))</f>
        <v/>
      </c>
      <c r="G391" s="26" t="str">
        <f>IF(E391="","",SUMIFS(RawData!$N$2:$N$50000,RawData!$B$2:$B$50000,"="&amp;Home!$A$5,RawData!$D$2:$D$50000,"="&amp;Home!$E391))</f>
        <v/>
      </c>
      <c r="H391" s="27" t="str">
        <f t="array" ref="H391">IFERROR(SUM(IF(FREQUENCY(IF(RawData!$D$2:$D$50000=Home!E391,MATCH(RawData!$H$2:$H$50000,RawData!$H$2:$H$50000,0)),ROW(RawData!$D$2:$D$50000)-ROW(RawData!$D$2)+1),RawData!$J$2:$J$50000)),"")</f>
        <v/>
      </c>
    </row>
    <row r="392" spans="5:8" x14ac:dyDescent="0.2">
      <c r="E392" s="28"/>
      <c r="F392" s="25" t="str">
        <f>IF(E392="","",SUMIFS(RawData!$M$2:$M$50000,RawData!$B$2:$B$50000,"="&amp;Home!$A$5,RawData!$D$2:$D$50000,"="&amp;Home!$E392))</f>
        <v/>
      </c>
      <c r="G392" s="26" t="str">
        <f>IF(E392="","",SUMIFS(RawData!$N$2:$N$50000,RawData!$B$2:$B$50000,"="&amp;Home!$A$5,RawData!$D$2:$D$50000,"="&amp;Home!$E392))</f>
        <v/>
      </c>
      <c r="H392" s="27" t="str">
        <f t="array" ref="H392">IFERROR(SUM(IF(FREQUENCY(IF(RawData!$D$2:$D$50000=Home!E392,MATCH(RawData!$H$2:$H$50000,RawData!$H$2:$H$50000,0)),ROW(RawData!$D$2:$D$50000)-ROW(RawData!$D$2)+1),RawData!$J$2:$J$50000)),"")</f>
        <v/>
      </c>
    </row>
    <row r="393" spans="5:8" x14ac:dyDescent="0.2">
      <c r="E393" s="28"/>
      <c r="F393" s="25" t="str">
        <f>IF(E393="","",SUMIFS(RawData!$M$2:$M$50000,RawData!$B$2:$B$50000,"="&amp;Home!$A$5,RawData!$D$2:$D$50000,"="&amp;Home!$E393))</f>
        <v/>
      </c>
      <c r="G393" s="26" t="str">
        <f>IF(E393="","",SUMIFS(RawData!$N$2:$N$50000,RawData!$B$2:$B$50000,"="&amp;Home!$A$5,RawData!$D$2:$D$50000,"="&amp;Home!$E393))</f>
        <v/>
      </c>
      <c r="H393" s="27" t="str">
        <f t="array" ref="H393">IFERROR(SUM(IF(FREQUENCY(IF(RawData!$D$2:$D$50000=Home!E393,MATCH(RawData!$H$2:$H$50000,RawData!$H$2:$H$50000,0)),ROW(RawData!$D$2:$D$50000)-ROW(RawData!$D$2)+1),RawData!$J$2:$J$50000)),"")</f>
        <v/>
      </c>
    </row>
    <row r="394" spans="5:8" x14ac:dyDescent="0.2">
      <c r="E394" s="28"/>
      <c r="F394" s="25" t="str">
        <f>IF(E394="","",SUMIFS(RawData!$M$2:$M$50000,RawData!$B$2:$B$50000,"="&amp;Home!$A$5,RawData!$D$2:$D$50000,"="&amp;Home!$E394))</f>
        <v/>
      </c>
      <c r="G394" s="26" t="str">
        <f>IF(E394="","",SUMIFS(RawData!$N$2:$N$50000,RawData!$B$2:$B$50000,"="&amp;Home!$A$5,RawData!$D$2:$D$50000,"="&amp;Home!$E394))</f>
        <v/>
      </c>
      <c r="H394" s="27" t="str">
        <f t="array" ref="H394">IFERROR(SUM(IF(FREQUENCY(IF(RawData!$D$2:$D$50000=Home!E394,MATCH(RawData!$H$2:$H$50000,RawData!$H$2:$H$50000,0)),ROW(RawData!$D$2:$D$50000)-ROW(RawData!$D$2)+1),RawData!$J$2:$J$50000)),"")</f>
        <v/>
      </c>
    </row>
    <row r="395" spans="5:8" x14ac:dyDescent="0.2">
      <c r="E395" s="28"/>
      <c r="F395" s="25" t="str">
        <f>IF(E395="","",SUMIFS(RawData!$M$2:$M$50000,RawData!$B$2:$B$50000,"="&amp;Home!$A$5,RawData!$D$2:$D$50000,"="&amp;Home!$E395))</f>
        <v/>
      </c>
      <c r="G395" s="26" t="str">
        <f>IF(E395="","",SUMIFS(RawData!$N$2:$N$50000,RawData!$B$2:$B$50000,"="&amp;Home!$A$5,RawData!$D$2:$D$50000,"="&amp;Home!$E395))</f>
        <v/>
      </c>
      <c r="H395" s="27" t="str">
        <f t="array" ref="H395">IFERROR(SUM(IF(FREQUENCY(IF(RawData!$D$2:$D$50000=Home!E395,MATCH(RawData!$H$2:$H$50000,RawData!$H$2:$H$50000,0)),ROW(RawData!$D$2:$D$50000)-ROW(RawData!$D$2)+1),RawData!$J$2:$J$50000)),"")</f>
        <v/>
      </c>
    </row>
    <row r="396" spans="5:8" x14ac:dyDescent="0.2">
      <c r="E396" s="28"/>
      <c r="F396" s="25" t="str">
        <f>IF(E396="","",SUMIFS(RawData!$M$2:$M$50000,RawData!$B$2:$B$50000,"="&amp;Home!$A$5,RawData!$D$2:$D$50000,"="&amp;Home!$E396))</f>
        <v/>
      </c>
      <c r="G396" s="26" t="str">
        <f>IF(E396="","",SUMIFS(RawData!$N$2:$N$50000,RawData!$B$2:$B$50000,"="&amp;Home!$A$5,RawData!$D$2:$D$50000,"="&amp;Home!$E396))</f>
        <v/>
      </c>
      <c r="H396" s="27" t="str">
        <f t="array" ref="H396">IFERROR(SUM(IF(FREQUENCY(IF(RawData!$D$2:$D$50000=Home!E396,MATCH(RawData!$H$2:$H$50000,RawData!$H$2:$H$50000,0)),ROW(RawData!$D$2:$D$50000)-ROW(RawData!$D$2)+1),RawData!$J$2:$J$50000)),"")</f>
        <v/>
      </c>
    </row>
    <row r="397" spans="5:8" x14ac:dyDescent="0.2">
      <c r="E397" s="28"/>
      <c r="F397" s="25" t="str">
        <f>IF(E397="","",SUMIFS(RawData!$M$2:$M$50000,RawData!$B$2:$B$50000,"="&amp;Home!$A$5,RawData!$D$2:$D$50000,"="&amp;Home!$E397))</f>
        <v/>
      </c>
      <c r="G397" s="26" t="str">
        <f>IF(E397="","",SUMIFS(RawData!$N$2:$N$50000,RawData!$B$2:$B$50000,"="&amp;Home!$A$5,RawData!$D$2:$D$50000,"="&amp;Home!$E397))</f>
        <v/>
      </c>
      <c r="H397" s="27" t="str">
        <f t="array" ref="H397">IFERROR(SUM(IF(FREQUENCY(IF(RawData!$D$2:$D$50000=Home!E397,MATCH(RawData!$H$2:$H$50000,RawData!$H$2:$H$50000,0)),ROW(RawData!$D$2:$D$50000)-ROW(RawData!$D$2)+1),RawData!$J$2:$J$50000)),"")</f>
        <v/>
      </c>
    </row>
    <row r="398" spans="5:8" x14ac:dyDescent="0.2">
      <c r="E398" s="28"/>
      <c r="F398" s="25" t="str">
        <f>IF(E398="","",SUMIFS(RawData!$M$2:$M$50000,RawData!$B$2:$B$50000,"="&amp;Home!$A$5,RawData!$D$2:$D$50000,"="&amp;Home!$E398))</f>
        <v/>
      </c>
      <c r="G398" s="26" t="str">
        <f>IF(E398="","",SUMIFS(RawData!$N$2:$N$50000,RawData!$B$2:$B$50000,"="&amp;Home!$A$5,RawData!$D$2:$D$50000,"="&amp;Home!$E398))</f>
        <v/>
      </c>
      <c r="H398" s="27" t="str">
        <f t="array" ref="H398">IFERROR(SUM(IF(FREQUENCY(IF(RawData!$D$2:$D$50000=Home!E398,MATCH(RawData!$H$2:$H$50000,RawData!$H$2:$H$50000,0)),ROW(RawData!$D$2:$D$50000)-ROW(RawData!$D$2)+1),RawData!$J$2:$J$50000)),"")</f>
        <v/>
      </c>
    </row>
    <row r="399" spans="5:8" x14ac:dyDescent="0.2">
      <c r="E399" s="28"/>
      <c r="F399" s="25" t="str">
        <f>IF(E399="","",SUMIFS(RawData!$M$2:$M$50000,RawData!$B$2:$B$50000,"="&amp;Home!$A$5,RawData!$D$2:$D$50000,"="&amp;Home!$E399))</f>
        <v/>
      </c>
      <c r="G399" s="26" t="str">
        <f>IF(E399="","",SUMIFS(RawData!$N$2:$N$50000,RawData!$B$2:$B$50000,"="&amp;Home!$A$5,RawData!$D$2:$D$50000,"="&amp;Home!$E399))</f>
        <v/>
      </c>
      <c r="H399" s="27" t="str">
        <f t="array" ref="H399">IFERROR(SUM(IF(FREQUENCY(IF(RawData!$D$2:$D$50000=Home!E399,MATCH(RawData!$H$2:$H$50000,RawData!$H$2:$H$50000,0)),ROW(RawData!$D$2:$D$50000)-ROW(RawData!$D$2)+1),RawData!$J$2:$J$50000)),"")</f>
        <v/>
      </c>
    </row>
    <row r="400" spans="5:8" x14ac:dyDescent="0.2">
      <c r="E400" s="28"/>
      <c r="F400" s="25" t="str">
        <f>IF(E400="","",SUMIFS(RawData!$M$2:$M$50000,RawData!$B$2:$B$50000,"="&amp;Home!$A$5,RawData!$D$2:$D$50000,"="&amp;Home!$E400))</f>
        <v/>
      </c>
      <c r="G400" s="26" t="str">
        <f>IF(E400="","",SUMIFS(RawData!$N$2:$N$50000,RawData!$B$2:$B$50000,"="&amp;Home!$A$5,RawData!$D$2:$D$50000,"="&amp;Home!$E400))</f>
        <v/>
      </c>
      <c r="H400" s="27" t="str">
        <f t="array" ref="H400">IFERROR(SUM(IF(FREQUENCY(IF(RawData!$D$2:$D$50000=Home!E400,MATCH(RawData!$H$2:$H$50000,RawData!$H$2:$H$50000,0)),ROW(RawData!$D$2:$D$50000)-ROW(RawData!$D$2)+1),RawData!$J$2:$J$50000)),"")</f>
        <v/>
      </c>
    </row>
    <row r="401" spans="5:8" x14ac:dyDescent="0.2">
      <c r="E401" s="28"/>
      <c r="F401" s="25" t="str">
        <f>IF(E401="","",SUMIFS(RawData!$M$2:$M$50000,RawData!$B$2:$B$50000,"="&amp;Home!$A$5,RawData!$D$2:$D$50000,"="&amp;Home!$E401))</f>
        <v/>
      </c>
      <c r="G401" s="26" t="str">
        <f>IF(E401="","",SUMIFS(RawData!$N$2:$N$50000,RawData!$B$2:$B$50000,"="&amp;Home!$A$5,RawData!$D$2:$D$50000,"="&amp;Home!$E401))</f>
        <v/>
      </c>
      <c r="H401" s="27" t="str">
        <f t="array" ref="H401">IFERROR(SUM(IF(FREQUENCY(IF(RawData!$D$2:$D$50000=Home!E401,MATCH(RawData!$H$2:$H$50000,RawData!$H$2:$H$50000,0)),ROW(RawData!$D$2:$D$50000)-ROW(RawData!$D$2)+1),RawData!$J$2:$J$50000)),"")</f>
        <v/>
      </c>
    </row>
    <row r="402" spans="5:8" x14ac:dyDescent="0.2">
      <c r="E402" s="28"/>
      <c r="F402" s="25" t="str">
        <f>IF(E402="","",SUMIFS(RawData!$M$2:$M$50000,RawData!$B$2:$B$50000,"="&amp;Home!$A$5,RawData!$D$2:$D$50000,"="&amp;Home!$E402))</f>
        <v/>
      </c>
      <c r="G402" s="26" t="str">
        <f>IF(E402="","",SUMIFS(RawData!$N$2:$N$50000,RawData!$B$2:$B$50000,"="&amp;Home!$A$5,RawData!$D$2:$D$50000,"="&amp;Home!$E402))</f>
        <v/>
      </c>
      <c r="H402" s="27" t="str">
        <f t="array" ref="H402">IFERROR(SUM(IF(FREQUENCY(IF(RawData!$D$2:$D$50000=Home!E402,MATCH(RawData!$H$2:$H$50000,RawData!$H$2:$H$50000,0)),ROW(RawData!$D$2:$D$50000)-ROW(RawData!$D$2)+1),RawData!$J$2:$J$50000)),"")</f>
        <v/>
      </c>
    </row>
    <row r="403" spans="5:8" x14ac:dyDescent="0.2">
      <c r="E403" s="28"/>
      <c r="F403" s="25" t="str">
        <f>IF(E403="","",SUMIFS(RawData!$M$2:$M$50000,RawData!$B$2:$B$50000,"="&amp;Home!$A$5,RawData!$D$2:$D$50000,"="&amp;Home!$E403))</f>
        <v/>
      </c>
      <c r="G403" s="26" t="str">
        <f>IF(E403="","",SUMIFS(RawData!$N$2:$N$50000,RawData!$B$2:$B$50000,"="&amp;Home!$A$5,RawData!$D$2:$D$50000,"="&amp;Home!$E403))</f>
        <v/>
      </c>
      <c r="H403" s="27" t="str">
        <f t="array" ref="H403">IFERROR(SUM(IF(FREQUENCY(IF(RawData!$D$2:$D$50000=Home!E403,MATCH(RawData!$H$2:$H$50000,RawData!$H$2:$H$50000,0)),ROW(RawData!$D$2:$D$50000)-ROW(RawData!$D$2)+1),RawData!$J$2:$J$50000)),"")</f>
        <v/>
      </c>
    </row>
    <row r="404" spans="5:8" x14ac:dyDescent="0.2">
      <c r="E404" s="28"/>
      <c r="F404" s="25" t="str">
        <f>IF(E404="","",SUMIFS(RawData!$M$2:$M$50000,RawData!$B$2:$B$50000,"="&amp;Home!$A$5,RawData!$D$2:$D$50000,"="&amp;Home!$E404))</f>
        <v/>
      </c>
      <c r="G404" s="26" t="str">
        <f>IF(E404="","",SUMIFS(RawData!$N$2:$N$50000,RawData!$B$2:$B$50000,"="&amp;Home!$A$5,RawData!$D$2:$D$50000,"="&amp;Home!$E404))</f>
        <v/>
      </c>
      <c r="H404" s="27" t="str">
        <f t="array" ref="H404">IFERROR(SUM(IF(FREQUENCY(IF(RawData!$D$2:$D$50000=Home!E404,MATCH(RawData!$H$2:$H$50000,RawData!$H$2:$H$50000,0)),ROW(RawData!$D$2:$D$50000)-ROW(RawData!$D$2)+1),RawData!$J$2:$J$50000)),"")</f>
        <v/>
      </c>
    </row>
    <row r="405" spans="5:8" x14ac:dyDescent="0.2">
      <c r="E405" s="28"/>
      <c r="F405" s="25" t="str">
        <f>IF(E405="","",SUMIFS(RawData!$M$2:$M$50000,RawData!$B$2:$B$50000,"="&amp;Home!$A$5,RawData!$D$2:$D$50000,"="&amp;Home!$E405))</f>
        <v/>
      </c>
      <c r="G405" s="26" t="str">
        <f>IF(E405="","",SUMIFS(RawData!$N$2:$N$50000,RawData!$B$2:$B$50000,"="&amp;Home!$A$5,RawData!$D$2:$D$50000,"="&amp;Home!$E405))</f>
        <v/>
      </c>
      <c r="H405" s="27" t="str">
        <f t="array" ref="H405">IFERROR(SUM(IF(FREQUENCY(IF(RawData!$D$2:$D$50000=Home!E405,MATCH(RawData!$H$2:$H$50000,RawData!$H$2:$H$50000,0)),ROW(RawData!$D$2:$D$50000)-ROW(RawData!$D$2)+1),RawData!$J$2:$J$50000)),"")</f>
        <v/>
      </c>
    </row>
    <row r="406" spans="5:8" x14ac:dyDescent="0.2">
      <c r="E406" s="28"/>
      <c r="F406" s="25" t="str">
        <f>IF(E406="","",SUMIFS(RawData!$M$2:$M$50000,RawData!$B$2:$B$50000,"="&amp;Home!$A$5,RawData!$D$2:$D$50000,"="&amp;Home!$E406))</f>
        <v/>
      </c>
      <c r="G406" s="26" t="str">
        <f>IF(E406="","",SUMIFS(RawData!$N$2:$N$50000,RawData!$B$2:$B$50000,"="&amp;Home!$A$5,RawData!$D$2:$D$50000,"="&amp;Home!$E406))</f>
        <v/>
      </c>
      <c r="H406" s="27" t="str">
        <f t="array" ref="H406">IFERROR(SUM(IF(FREQUENCY(IF(RawData!$D$2:$D$50000=Home!E406,MATCH(RawData!$H$2:$H$50000,RawData!$H$2:$H$50000,0)),ROW(RawData!$D$2:$D$50000)-ROW(RawData!$D$2)+1),RawData!$J$2:$J$50000)),"")</f>
        <v/>
      </c>
    </row>
    <row r="407" spans="5:8" x14ac:dyDescent="0.2">
      <c r="E407" s="28"/>
      <c r="F407" s="25" t="str">
        <f>IF(E407="","",SUMIFS(RawData!$M$2:$M$50000,RawData!$B$2:$B$50000,"="&amp;Home!$A$5,RawData!$D$2:$D$50000,"="&amp;Home!$E407))</f>
        <v/>
      </c>
      <c r="G407" s="26" t="str">
        <f>IF(E407="","",SUMIFS(RawData!$N$2:$N$50000,RawData!$B$2:$B$50000,"="&amp;Home!$A$5,RawData!$D$2:$D$50000,"="&amp;Home!$E407))</f>
        <v/>
      </c>
      <c r="H407" s="27" t="str">
        <f t="array" ref="H407">IFERROR(SUM(IF(FREQUENCY(IF(RawData!$D$2:$D$50000=Home!E407,MATCH(RawData!$H$2:$H$50000,RawData!$H$2:$H$50000,0)),ROW(RawData!$D$2:$D$50000)-ROW(RawData!$D$2)+1),RawData!$J$2:$J$50000)),"")</f>
        <v/>
      </c>
    </row>
    <row r="408" spans="5:8" x14ac:dyDescent="0.2">
      <c r="E408" s="28"/>
      <c r="F408" s="25" t="str">
        <f>IF(E408="","",SUMIFS(RawData!$M$2:$M$50000,RawData!$B$2:$B$50000,"="&amp;Home!$A$5,RawData!$D$2:$D$50000,"="&amp;Home!$E408))</f>
        <v/>
      </c>
      <c r="G408" s="26" t="str">
        <f>IF(E408="","",SUMIFS(RawData!$N$2:$N$50000,RawData!$B$2:$B$50000,"="&amp;Home!$A$5,RawData!$D$2:$D$50000,"="&amp;Home!$E408))</f>
        <v/>
      </c>
      <c r="H408" s="27" t="str">
        <f t="array" ref="H408">IFERROR(SUM(IF(FREQUENCY(IF(RawData!$D$2:$D$50000=Home!E408,MATCH(RawData!$H$2:$H$50000,RawData!$H$2:$H$50000,0)),ROW(RawData!$D$2:$D$50000)-ROW(RawData!$D$2)+1),RawData!$J$2:$J$50000)),"")</f>
        <v/>
      </c>
    </row>
    <row r="409" spans="5:8" x14ac:dyDescent="0.2">
      <c r="E409" s="28"/>
      <c r="F409" s="25" t="str">
        <f>IF(E409="","",SUMIFS(RawData!$M$2:$M$50000,RawData!$B$2:$B$50000,"="&amp;Home!$A$5,RawData!$D$2:$D$50000,"="&amp;Home!$E409))</f>
        <v/>
      </c>
      <c r="G409" s="26" t="str">
        <f>IF(E409="","",SUMIFS(RawData!$N$2:$N$50000,RawData!$B$2:$B$50000,"="&amp;Home!$A$5,RawData!$D$2:$D$50000,"="&amp;Home!$E409))</f>
        <v/>
      </c>
      <c r="H409" s="27" t="str">
        <f t="array" ref="H409">IFERROR(SUM(IF(FREQUENCY(IF(RawData!$D$2:$D$50000=Home!E409,MATCH(RawData!$H$2:$H$50000,RawData!$H$2:$H$50000,0)),ROW(RawData!$D$2:$D$50000)-ROW(RawData!$D$2)+1),RawData!$J$2:$J$50000)),"")</f>
        <v/>
      </c>
    </row>
    <row r="410" spans="5:8" x14ac:dyDescent="0.2">
      <c r="E410" s="28"/>
      <c r="F410" s="25" t="str">
        <f>IF(E410="","",SUMIFS(RawData!$M$2:$M$50000,RawData!$B$2:$B$50000,"="&amp;Home!$A$5,RawData!$D$2:$D$50000,"="&amp;Home!$E410))</f>
        <v/>
      </c>
      <c r="G410" s="26" t="str">
        <f>IF(E410="","",SUMIFS(RawData!$N$2:$N$50000,RawData!$B$2:$B$50000,"="&amp;Home!$A$5,RawData!$D$2:$D$50000,"="&amp;Home!$E410))</f>
        <v/>
      </c>
      <c r="H410" s="27" t="str">
        <f t="array" ref="H410">IFERROR(SUM(IF(FREQUENCY(IF(RawData!$D$2:$D$50000=Home!E410,MATCH(RawData!$H$2:$H$50000,RawData!$H$2:$H$50000,0)),ROW(RawData!$D$2:$D$50000)-ROW(RawData!$D$2)+1),RawData!$J$2:$J$50000)),"")</f>
        <v/>
      </c>
    </row>
    <row r="411" spans="5:8" x14ac:dyDescent="0.2">
      <c r="E411" s="28"/>
      <c r="F411" s="25" t="str">
        <f>IF(E411="","",SUMIFS(RawData!$M$2:$M$50000,RawData!$B$2:$B$50000,"="&amp;Home!$A$5,RawData!$D$2:$D$50000,"="&amp;Home!$E411))</f>
        <v/>
      </c>
      <c r="G411" s="26" t="str">
        <f>IF(E411="","",SUMIFS(RawData!$N$2:$N$50000,RawData!$B$2:$B$50000,"="&amp;Home!$A$5,RawData!$D$2:$D$50000,"="&amp;Home!$E411))</f>
        <v/>
      </c>
      <c r="H411" s="27" t="str">
        <f t="array" ref="H411">IFERROR(SUM(IF(FREQUENCY(IF(RawData!$D$2:$D$50000=Home!E411,MATCH(RawData!$H$2:$H$50000,RawData!$H$2:$H$50000,0)),ROW(RawData!$D$2:$D$50000)-ROW(RawData!$D$2)+1),RawData!$J$2:$J$50000)),"")</f>
        <v/>
      </c>
    </row>
    <row r="412" spans="5:8" x14ac:dyDescent="0.2">
      <c r="E412" s="28"/>
      <c r="F412" s="25" t="str">
        <f>IF(E412="","",SUMIFS(RawData!$M$2:$M$50000,RawData!$B$2:$B$50000,"="&amp;Home!$A$5,RawData!$D$2:$D$50000,"="&amp;Home!$E412))</f>
        <v/>
      </c>
      <c r="G412" s="26" t="str">
        <f>IF(E412="","",SUMIFS(RawData!$N$2:$N$50000,RawData!$B$2:$B$50000,"="&amp;Home!$A$5,RawData!$D$2:$D$50000,"="&amp;Home!$E412))</f>
        <v/>
      </c>
      <c r="H412" s="27" t="str">
        <f t="array" ref="H412">IFERROR(SUM(IF(FREQUENCY(IF(RawData!$D$2:$D$50000=Home!E412,MATCH(RawData!$H$2:$H$50000,RawData!$H$2:$H$50000,0)),ROW(RawData!$D$2:$D$50000)-ROW(RawData!$D$2)+1),RawData!$J$2:$J$50000)),"")</f>
        <v/>
      </c>
    </row>
    <row r="413" spans="5:8" x14ac:dyDescent="0.2">
      <c r="E413" s="28"/>
      <c r="F413" s="25" t="str">
        <f>IF(E413="","",SUMIFS(RawData!$M$2:$M$50000,RawData!$B$2:$B$50000,"="&amp;Home!$A$5,RawData!$D$2:$D$50000,"="&amp;Home!$E413))</f>
        <v/>
      </c>
      <c r="G413" s="26" t="str">
        <f>IF(E413="","",SUMIFS(RawData!$N$2:$N$50000,RawData!$B$2:$B$50000,"="&amp;Home!$A$5,RawData!$D$2:$D$50000,"="&amp;Home!$E413))</f>
        <v/>
      </c>
      <c r="H413" s="27" t="str">
        <f t="array" ref="H413">IFERROR(SUM(IF(FREQUENCY(IF(RawData!$D$2:$D$50000=Home!E413,MATCH(RawData!$H$2:$H$50000,RawData!$H$2:$H$50000,0)),ROW(RawData!$D$2:$D$50000)-ROW(RawData!$D$2)+1),RawData!$J$2:$J$50000)),"")</f>
        <v/>
      </c>
    </row>
    <row r="414" spans="5:8" x14ac:dyDescent="0.2">
      <c r="E414" s="28"/>
      <c r="F414" s="25" t="str">
        <f>IF(E414="","",SUMIFS(RawData!$M$2:$M$50000,RawData!$B$2:$B$50000,"="&amp;Home!$A$5,RawData!$D$2:$D$50000,"="&amp;Home!$E414))</f>
        <v/>
      </c>
      <c r="G414" s="26" t="str">
        <f>IF(E414="","",SUMIFS(RawData!$N$2:$N$50000,RawData!$B$2:$B$50000,"="&amp;Home!$A$5,RawData!$D$2:$D$50000,"="&amp;Home!$E414))</f>
        <v/>
      </c>
      <c r="H414" s="27" t="str">
        <f t="array" ref="H414">IFERROR(SUM(IF(FREQUENCY(IF(RawData!$D$2:$D$50000=Home!E414,MATCH(RawData!$H$2:$H$50000,RawData!$H$2:$H$50000,0)),ROW(RawData!$D$2:$D$50000)-ROW(RawData!$D$2)+1),RawData!$J$2:$J$50000)),"")</f>
        <v/>
      </c>
    </row>
    <row r="415" spans="5:8" x14ac:dyDescent="0.2">
      <c r="E415" s="28"/>
      <c r="F415" s="25" t="str">
        <f>IF(E415="","",SUMIFS(RawData!$M$2:$M$50000,RawData!$B$2:$B$50000,"="&amp;Home!$A$5,RawData!$D$2:$D$50000,"="&amp;Home!$E415))</f>
        <v/>
      </c>
      <c r="G415" s="26" t="str">
        <f>IF(E415="","",SUMIFS(RawData!$N$2:$N$50000,RawData!$B$2:$B$50000,"="&amp;Home!$A$5,RawData!$D$2:$D$50000,"="&amp;Home!$E415))</f>
        <v/>
      </c>
      <c r="H415" s="27" t="str">
        <f t="array" ref="H415">IFERROR(SUM(IF(FREQUENCY(IF(RawData!$D$2:$D$50000=Home!E415,MATCH(RawData!$H$2:$H$50000,RawData!$H$2:$H$50000,0)),ROW(RawData!$D$2:$D$50000)-ROW(RawData!$D$2)+1),RawData!$J$2:$J$50000)),"")</f>
        <v/>
      </c>
    </row>
    <row r="416" spans="5:8" x14ac:dyDescent="0.2">
      <c r="E416" s="28"/>
      <c r="F416" s="25" t="str">
        <f>IF(E416="","",SUMIFS(RawData!$M$2:$M$50000,RawData!$B$2:$B$50000,"="&amp;Home!$A$5,RawData!$D$2:$D$50000,"="&amp;Home!$E416))</f>
        <v/>
      </c>
      <c r="G416" s="26" t="str">
        <f>IF(E416="","",SUMIFS(RawData!$N$2:$N$50000,RawData!$B$2:$B$50000,"="&amp;Home!$A$5,RawData!$D$2:$D$50000,"="&amp;Home!$E416))</f>
        <v/>
      </c>
      <c r="H416" s="27" t="str">
        <f t="array" ref="H416">IFERROR(SUM(IF(FREQUENCY(IF(RawData!$D$2:$D$50000=Home!E416,MATCH(RawData!$H$2:$H$50000,RawData!$H$2:$H$50000,0)),ROW(RawData!$D$2:$D$50000)-ROW(RawData!$D$2)+1),RawData!$J$2:$J$50000)),"")</f>
        <v/>
      </c>
    </row>
    <row r="417" spans="5:8" x14ac:dyDescent="0.2">
      <c r="E417" s="28"/>
      <c r="F417" s="25" t="str">
        <f>IF(E417="","",SUMIFS(RawData!$M$2:$M$50000,RawData!$B$2:$B$50000,"="&amp;Home!$A$5,RawData!$D$2:$D$50000,"="&amp;Home!$E417))</f>
        <v/>
      </c>
      <c r="G417" s="26" t="str">
        <f>IF(E417="","",SUMIFS(RawData!$N$2:$N$50000,RawData!$B$2:$B$50000,"="&amp;Home!$A$5,RawData!$D$2:$D$50000,"="&amp;Home!$E417))</f>
        <v/>
      </c>
      <c r="H417" s="27" t="str">
        <f t="array" ref="H417">IFERROR(SUM(IF(FREQUENCY(IF(RawData!$D$2:$D$50000=Home!E417,MATCH(RawData!$H$2:$H$50000,RawData!$H$2:$H$50000,0)),ROW(RawData!$D$2:$D$50000)-ROW(RawData!$D$2)+1),RawData!$J$2:$J$50000)),"")</f>
        <v/>
      </c>
    </row>
    <row r="418" spans="5:8" x14ac:dyDescent="0.2">
      <c r="E418" s="28"/>
      <c r="F418" s="25" t="str">
        <f>IF(E418="","",SUMIFS(RawData!$M$2:$M$50000,RawData!$B$2:$B$50000,"="&amp;Home!$A$5,RawData!$D$2:$D$50000,"="&amp;Home!$E418))</f>
        <v/>
      </c>
      <c r="G418" s="26" t="str">
        <f>IF(E418="","",SUMIFS(RawData!$N$2:$N$50000,RawData!$B$2:$B$50000,"="&amp;Home!$A$5,RawData!$D$2:$D$50000,"="&amp;Home!$E418))</f>
        <v/>
      </c>
      <c r="H418" s="27" t="str">
        <f t="array" ref="H418">IFERROR(SUM(IF(FREQUENCY(IF(RawData!$D$2:$D$50000=Home!E418,MATCH(RawData!$H$2:$H$50000,RawData!$H$2:$H$50000,0)),ROW(RawData!$D$2:$D$50000)-ROW(RawData!$D$2)+1),RawData!$J$2:$J$50000)),"")</f>
        <v/>
      </c>
    </row>
    <row r="419" spans="5:8" x14ac:dyDescent="0.2">
      <c r="E419" s="28"/>
      <c r="F419" s="25" t="str">
        <f>IF(E419="","",SUMIFS(RawData!$M$2:$M$50000,RawData!$B$2:$B$50000,"="&amp;Home!$A$5,RawData!$D$2:$D$50000,"="&amp;Home!$E419))</f>
        <v/>
      </c>
      <c r="G419" s="26" t="str">
        <f>IF(E419="","",SUMIFS(RawData!$N$2:$N$50000,RawData!$B$2:$B$50000,"="&amp;Home!$A$5,RawData!$D$2:$D$50000,"="&amp;Home!$E419))</f>
        <v/>
      </c>
      <c r="H419" s="27" t="str">
        <f t="array" ref="H419">IFERROR(SUM(IF(FREQUENCY(IF(RawData!$D$2:$D$50000=Home!E419,MATCH(RawData!$H$2:$H$50000,RawData!$H$2:$H$50000,0)),ROW(RawData!$D$2:$D$50000)-ROW(RawData!$D$2)+1),RawData!$J$2:$J$50000)),"")</f>
        <v/>
      </c>
    </row>
    <row r="420" spans="5:8" x14ac:dyDescent="0.2">
      <c r="E420" s="28"/>
      <c r="F420" s="25" t="str">
        <f>IF(E420="","",SUMIFS(RawData!$M$2:$M$50000,RawData!$B$2:$B$50000,"="&amp;Home!$A$5,RawData!$D$2:$D$50000,"="&amp;Home!$E420))</f>
        <v/>
      </c>
      <c r="G420" s="26" t="str">
        <f>IF(E420="","",SUMIFS(RawData!$N$2:$N$50000,RawData!$B$2:$B$50000,"="&amp;Home!$A$5,RawData!$D$2:$D$50000,"="&amp;Home!$E420))</f>
        <v/>
      </c>
      <c r="H420" s="27" t="str">
        <f t="array" ref="H420">IFERROR(SUM(IF(FREQUENCY(IF(RawData!$D$2:$D$50000=Home!E420,MATCH(RawData!$H$2:$H$50000,RawData!$H$2:$H$50000,0)),ROW(RawData!$D$2:$D$50000)-ROW(RawData!$D$2)+1),RawData!$J$2:$J$50000)),"")</f>
        <v/>
      </c>
    </row>
    <row r="421" spans="5:8" x14ac:dyDescent="0.2">
      <c r="E421" s="28"/>
      <c r="F421" s="25" t="str">
        <f>IF(E421="","",SUMIFS(RawData!$M$2:$M$50000,RawData!$B$2:$B$50000,"="&amp;Home!$A$5,RawData!$D$2:$D$50000,"="&amp;Home!$E421))</f>
        <v/>
      </c>
      <c r="G421" s="26" t="str">
        <f>IF(E421="","",SUMIFS(RawData!$N$2:$N$50000,RawData!$B$2:$B$50000,"="&amp;Home!$A$5,RawData!$D$2:$D$50000,"="&amp;Home!$E421))</f>
        <v/>
      </c>
      <c r="H421" s="27" t="str">
        <f t="array" ref="H421">IFERROR(SUM(IF(FREQUENCY(IF(RawData!$D$2:$D$50000=Home!E421,MATCH(RawData!$H$2:$H$50000,RawData!$H$2:$H$50000,0)),ROW(RawData!$D$2:$D$50000)-ROW(RawData!$D$2)+1),RawData!$J$2:$J$50000)),"")</f>
        <v/>
      </c>
    </row>
    <row r="422" spans="5:8" x14ac:dyDescent="0.2">
      <c r="E422" s="28"/>
      <c r="F422" s="25" t="str">
        <f>IF(E422="","",SUMIFS(RawData!$M$2:$M$50000,RawData!$B$2:$B$50000,"="&amp;Home!$A$5,RawData!$D$2:$D$50000,"="&amp;Home!$E422))</f>
        <v/>
      </c>
      <c r="G422" s="26" t="str">
        <f>IF(E422="","",SUMIFS(RawData!$N$2:$N$50000,RawData!$B$2:$B$50000,"="&amp;Home!$A$5,RawData!$D$2:$D$50000,"="&amp;Home!$E422))</f>
        <v/>
      </c>
      <c r="H422" s="27" t="str">
        <f t="array" ref="H422">IFERROR(SUM(IF(FREQUENCY(IF(RawData!$D$2:$D$50000=Home!E422,MATCH(RawData!$H$2:$H$50000,RawData!$H$2:$H$50000,0)),ROW(RawData!$D$2:$D$50000)-ROW(RawData!$D$2)+1),RawData!$J$2:$J$50000)),"")</f>
        <v/>
      </c>
    </row>
    <row r="423" spans="5:8" x14ac:dyDescent="0.2">
      <c r="E423" s="28"/>
      <c r="F423" s="25" t="str">
        <f>IF(E423="","",SUMIFS(RawData!$M$2:$M$50000,RawData!$B$2:$B$50000,"="&amp;Home!$A$5,RawData!$D$2:$D$50000,"="&amp;Home!$E423))</f>
        <v/>
      </c>
      <c r="G423" s="26" t="str">
        <f>IF(E423="","",SUMIFS(RawData!$N$2:$N$50000,RawData!$B$2:$B$50000,"="&amp;Home!$A$5,RawData!$D$2:$D$50000,"="&amp;Home!$E423))</f>
        <v/>
      </c>
      <c r="H423" s="27" t="str">
        <f t="array" ref="H423">IFERROR(SUM(IF(FREQUENCY(IF(RawData!$D$2:$D$50000=Home!E423,MATCH(RawData!$H$2:$H$50000,RawData!$H$2:$H$50000,0)),ROW(RawData!$D$2:$D$50000)-ROW(RawData!$D$2)+1),RawData!$J$2:$J$50000)),"")</f>
        <v/>
      </c>
    </row>
    <row r="424" spans="5:8" x14ac:dyDescent="0.2">
      <c r="E424" s="28"/>
      <c r="F424" s="25" t="str">
        <f>IF(E424="","",SUMIFS(RawData!$M$2:$M$50000,RawData!$B$2:$B$50000,"="&amp;Home!$A$5,RawData!$D$2:$D$50000,"="&amp;Home!$E424))</f>
        <v/>
      </c>
      <c r="G424" s="26" t="str">
        <f>IF(E424="","",SUMIFS(RawData!$N$2:$N$50000,RawData!$B$2:$B$50000,"="&amp;Home!$A$5,RawData!$D$2:$D$50000,"="&amp;Home!$E424))</f>
        <v/>
      </c>
      <c r="H424" s="27" t="str">
        <f t="array" ref="H424">IFERROR(SUM(IF(FREQUENCY(IF(RawData!$D$2:$D$50000=Home!E424,MATCH(RawData!$H$2:$H$50000,RawData!$H$2:$H$50000,0)),ROW(RawData!$D$2:$D$50000)-ROW(RawData!$D$2)+1),RawData!$J$2:$J$50000)),"")</f>
        <v/>
      </c>
    </row>
    <row r="425" spans="5:8" x14ac:dyDescent="0.2">
      <c r="E425" s="28"/>
      <c r="F425" s="25" t="str">
        <f>IF(E425="","",SUMIFS(RawData!$M$2:$M$50000,RawData!$B$2:$B$50000,"="&amp;Home!$A$5,RawData!$D$2:$D$50000,"="&amp;Home!$E425))</f>
        <v/>
      </c>
      <c r="G425" s="26" t="str">
        <f>IF(E425="","",SUMIFS(RawData!$N$2:$N$50000,RawData!$B$2:$B$50000,"="&amp;Home!$A$5,RawData!$D$2:$D$50000,"="&amp;Home!$E425))</f>
        <v/>
      </c>
      <c r="H425" s="27" t="str">
        <f t="array" ref="H425">IFERROR(SUM(IF(FREQUENCY(IF(RawData!$D$2:$D$50000=Home!E425,MATCH(RawData!$H$2:$H$50000,RawData!$H$2:$H$50000,0)),ROW(RawData!$D$2:$D$50000)-ROW(RawData!$D$2)+1),RawData!$J$2:$J$50000)),"")</f>
        <v/>
      </c>
    </row>
    <row r="426" spans="5:8" x14ac:dyDescent="0.2">
      <c r="E426" s="28"/>
      <c r="F426" s="25" t="str">
        <f>IF(E426="","",SUMIFS(RawData!$M$2:$M$50000,RawData!$B$2:$B$50000,"="&amp;Home!$A$5,RawData!$D$2:$D$50000,"="&amp;Home!$E426))</f>
        <v/>
      </c>
      <c r="G426" s="26" t="str">
        <f>IF(E426="","",SUMIFS(RawData!$N$2:$N$50000,RawData!$B$2:$B$50000,"="&amp;Home!$A$5,RawData!$D$2:$D$50000,"="&amp;Home!$E426))</f>
        <v/>
      </c>
      <c r="H426" s="27" t="str">
        <f t="array" ref="H426">IFERROR(SUM(IF(FREQUENCY(IF(RawData!$D$2:$D$50000=Home!E426,MATCH(RawData!$H$2:$H$50000,RawData!$H$2:$H$50000,0)),ROW(RawData!$D$2:$D$50000)-ROW(RawData!$D$2)+1),RawData!$J$2:$J$50000)),"")</f>
        <v/>
      </c>
    </row>
    <row r="427" spans="5:8" x14ac:dyDescent="0.2">
      <c r="E427" s="28"/>
      <c r="F427" s="25" t="str">
        <f>IF(E427="","",SUMIFS(RawData!$M$2:$M$50000,RawData!$B$2:$B$50000,"="&amp;Home!$A$5,RawData!$D$2:$D$50000,"="&amp;Home!$E427))</f>
        <v/>
      </c>
      <c r="G427" s="26" t="str">
        <f>IF(E427="","",SUMIFS(RawData!$N$2:$N$50000,RawData!$B$2:$B$50000,"="&amp;Home!$A$5,RawData!$D$2:$D$50000,"="&amp;Home!$E427))</f>
        <v/>
      </c>
      <c r="H427" s="27" t="str">
        <f t="array" ref="H427">IFERROR(SUM(IF(FREQUENCY(IF(RawData!$D$2:$D$50000=Home!E427,MATCH(RawData!$H$2:$H$50000,RawData!$H$2:$H$50000,0)),ROW(RawData!$D$2:$D$50000)-ROW(RawData!$D$2)+1),RawData!$J$2:$J$50000)),"")</f>
        <v/>
      </c>
    </row>
    <row r="428" spans="5:8" x14ac:dyDescent="0.2">
      <c r="E428" s="28"/>
      <c r="F428" s="25" t="str">
        <f>IF(E428="","",SUMIFS(RawData!$M$2:$M$50000,RawData!$B$2:$B$50000,"="&amp;Home!$A$5,RawData!$D$2:$D$50000,"="&amp;Home!$E428))</f>
        <v/>
      </c>
      <c r="G428" s="26" t="str">
        <f>IF(E428="","",SUMIFS(RawData!$N$2:$N$50000,RawData!$B$2:$B$50000,"="&amp;Home!$A$5,RawData!$D$2:$D$50000,"="&amp;Home!$E428))</f>
        <v/>
      </c>
      <c r="H428" s="27" t="str">
        <f t="array" ref="H428">IFERROR(SUM(IF(FREQUENCY(IF(RawData!$D$2:$D$50000=Home!E428,MATCH(RawData!$H$2:$H$50000,RawData!$H$2:$H$50000,0)),ROW(RawData!$D$2:$D$50000)-ROW(RawData!$D$2)+1),RawData!$J$2:$J$50000)),"")</f>
        <v/>
      </c>
    </row>
    <row r="429" spans="5:8" x14ac:dyDescent="0.2">
      <c r="E429" s="28"/>
      <c r="F429" s="25" t="str">
        <f>IF(E429="","",SUMIFS(RawData!$M$2:$M$50000,RawData!$B$2:$B$50000,"="&amp;Home!$A$5,RawData!$D$2:$D$50000,"="&amp;Home!$E429))</f>
        <v/>
      </c>
      <c r="G429" s="26" t="str">
        <f>IF(E429="","",SUMIFS(RawData!$N$2:$N$50000,RawData!$B$2:$B$50000,"="&amp;Home!$A$5,RawData!$D$2:$D$50000,"="&amp;Home!$E429))</f>
        <v/>
      </c>
      <c r="H429" s="27" t="str">
        <f t="array" ref="H429">IFERROR(SUM(IF(FREQUENCY(IF(RawData!$D$2:$D$50000=Home!E429,MATCH(RawData!$H$2:$H$50000,RawData!$H$2:$H$50000,0)),ROW(RawData!$D$2:$D$50000)-ROW(RawData!$D$2)+1),RawData!$J$2:$J$50000)),"")</f>
        <v/>
      </c>
    </row>
    <row r="430" spans="5:8" x14ac:dyDescent="0.2">
      <c r="E430" s="28"/>
      <c r="F430" s="25" t="str">
        <f>IF(E430="","",SUMIFS(RawData!$M$2:$M$50000,RawData!$B$2:$B$50000,"="&amp;Home!$A$5,RawData!$D$2:$D$50000,"="&amp;Home!$E430))</f>
        <v/>
      </c>
      <c r="G430" s="26" t="str">
        <f>IF(E430="","",SUMIFS(RawData!$N$2:$N$50000,RawData!$B$2:$B$50000,"="&amp;Home!$A$5,RawData!$D$2:$D$50000,"="&amp;Home!$E430))</f>
        <v/>
      </c>
      <c r="H430" s="27" t="str">
        <f t="array" ref="H430">IFERROR(SUM(IF(FREQUENCY(IF(RawData!$D$2:$D$50000=Home!E430,MATCH(RawData!$H$2:$H$50000,RawData!$H$2:$H$50000,0)),ROW(RawData!$D$2:$D$50000)-ROW(RawData!$D$2)+1),RawData!$J$2:$J$50000)),"")</f>
        <v/>
      </c>
    </row>
    <row r="431" spans="5:8" x14ac:dyDescent="0.2">
      <c r="E431" s="28"/>
      <c r="F431" s="25" t="str">
        <f>IF(E431="","",SUMIFS(RawData!$M$2:$M$50000,RawData!$B$2:$B$50000,"="&amp;Home!$A$5,RawData!$D$2:$D$50000,"="&amp;Home!$E431))</f>
        <v/>
      </c>
      <c r="G431" s="26" t="str">
        <f>IF(E431="","",SUMIFS(RawData!$N$2:$N$50000,RawData!$B$2:$B$50000,"="&amp;Home!$A$5,RawData!$D$2:$D$50000,"="&amp;Home!$E431))</f>
        <v/>
      </c>
      <c r="H431" s="27" t="str">
        <f t="array" ref="H431">IFERROR(SUM(IF(FREQUENCY(IF(RawData!$D$2:$D$50000=Home!E431,MATCH(RawData!$H$2:$H$50000,RawData!$H$2:$H$50000,0)),ROW(RawData!$D$2:$D$50000)-ROW(RawData!$D$2)+1),RawData!$J$2:$J$50000)),"")</f>
        <v/>
      </c>
    </row>
    <row r="432" spans="5:8" x14ac:dyDescent="0.2">
      <c r="E432" s="28"/>
      <c r="F432" s="25" t="str">
        <f>IF(E432="","",SUMIFS(RawData!$M$2:$M$50000,RawData!$B$2:$B$50000,"="&amp;Home!$A$5,RawData!$D$2:$D$50000,"="&amp;Home!$E432))</f>
        <v/>
      </c>
      <c r="G432" s="26" t="str">
        <f>IF(E432="","",SUMIFS(RawData!$N$2:$N$50000,RawData!$B$2:$B$50000,"="&amp;Home!$A$5,RawData!$D$2:$D$50000,"="&amp;Home!$E432))</f>
        <v/>
      </c>
      <c r="H432" s="27" t="str">
        <f t="array" ref="H432">IFERROR(SUM(IF(FREQUENCY(IF(RawData!$D$2:$D$50000=Home!E432,MATCH(RawData!$H$2:$H$50000,RawData!$H$2:$H$50000,0)),ROW(RawData!$D$2:$D$50000)-ROW(RawData!$D$2)+1),RawData!$J$2:$J$50000)),"")</f>
        <v/>
      </c>
    </row>
    <row r="433" spans="5:8" x14ac:dyDescent="0.2">
      <c r="E433" s="28"/>
      <c r="F433" s="25" t="str">
        <f>IF(E433="","",SUMIFS(RawData!$M$2:$M$50000,RawData!$B$2:$B$50000,"="&amp;Home!$A$5,RawData!$D$2:$D$50000,"="&amp;Home!$E433))</f>
        <v/>
      </c>
      <c r="G433" s="26" t="str">
        <f>IF(E433="","",SUMIFS(RawData!$N$2:$N$50000,RawData!$B$2:$B$50000,"="&amp;Home!$A$5,RawData!$D$2:$D$50000,"="&amp;Home!$E433))</f>
        <v/>
      </c>
      <c r="H433" s="27" t="str">
        <f t="array" ref="H433">IFERROR(SUM(IF(FREQUENCY(IF(RawData!$D$2:$D$50000=Home!E433,MATCH(RawData!$H$2:$H$50000,RawData!$H$2:$H$50000,0)),ROW(RawData!$D$2:$D$50000)-ROW(RawData!$D$2)+1),RawData!$J$2:$J$50000)),"")</f>
        <v/>
      </c>
    </row>
    <row r="434" spans="5:8" x14ac:dyDescent="0.2">
      <c r="E434" s="28"/>
      <c r="F434" s="25" t="str">
        <f>IF(E434="","",SUMIFS(RawData!$M$2:$M$50000,RawData!$B$2:$B$50000,"="&amp;Home!$A$5,RawData!$D$2:$D$50000,"="&amp;Home!$E434))</f>
        <v/>
      </c>
      <c r="G434" s="26" t="str">
        <f>IF(E434="","",SUMIFS(RawData!$N$2:$N$50000,RawData!$B$2:$B$50000,"="&amp;Home!$A$5,RawData!$D$2:$D$50000,"="&amp;Home!$E434))</f>
        <v/>
      </c>
      <c r="H434" s="27" t="str">
        <f t="array" ref="H434">IFERROR(SUM(IF(FREQUENCY(IF(RawData!$D$2:$D$50000=Home!E434,MATCH(RawData!$H$2:$H$50000,RawData!$H$2:$H$50000,0)),ROW(RawData!$D$2:$D$50000)-ROW(RawData!$D$2)+1),RawData!$J$2:$J$50000)),"")</f>
        <v/>
      </c>
    </row>
    <row r="435" spans="5:8" x14ac:dyDescent="0.2">
      <c r="E435" s="28"/>
      <c r="F435" s="25" t="str">
        <f>IF(E435="","",SUMIFS(RawData!$M$2:$M$50000,RawData!$B$2:$B$50000,"="&amp;Home!$A$5,RawData!$D$2:$D$50000,"="&amp;Home!$E435))</f>
        <v/>
      </c>
      <c r="G435" s="26" t="str">
        <f>IF(E435="","",SUMIFS(RawData!$N$2:$N$50000,RawData!$B$2:$B$50000,"="&amp;Home!$A$5,RawData!$D$2:$D$50000,"="&amp;Home!$E435))</f>
        <v/>
      </c>
      <c r="H435" s="27" t="str">
        <f t="array" ref="H435">IFERROR(SUM(IF(FREQUENCY(IF(RawData!$D$2:$D$50000=Home!E435,MATCH(RawData!$H$2:$H$50000,RawData!$H$2:$H$50000,0)),ROW(RawData!$D$2:$D$50000)-ROW(RawData!$D$2)+1),RawData!$J$2:$J$50000)),"")</f>
        <v/>
      </c>
    </row>
    <row r="436" spans="5:8" x14ac:dyDescent="0.2">
      <c r="E436" s="28"/>
      <c r="F436" s="25" t="str">
        <f>IF(E436="","",SUMIFS(RawData!$M$2:$M$50000,RawData!$B$2:$B$50000,"="&amp;Home!$A$5,RawData!$D$2:$D$50000,"="&amp;Home!$E436))</f>
        <v/>
      </c>
      <c r="G436" s="26" t="str">
        <f>IF(E436="","",SUMIFS(RawData!$N$2:$N$50000,RawData!$B$2:$B$50000,"="&amp;Home!$A$5,RawData!$D$2:$D$50000,"="&amp;Home!$E436))</f>
        <v/>
      </c>
      <c r="H436" s="27" t="str">
        <f t="array" ref="H436">IFERROR(SUM(IF(FREQUENCY(IF(RawData!$D$2:$D$50000=Home!E436,MATCH(RawData!$H$2:$H$50000,RawData!$H$2:$H$50000,0)),ROW(RawData!$D$2:$D$50000)-ROW(RawData!$D$2)+1),RawData!$J$2:$J$50000)),"")</f>
        <v/>
      </c>
    </row>
    <row r="437" spans="5:8" x14ac:dyDescent="0.2">
      <c r="E437" s="28"/>
      <c r="F437" s="25" t="str">
        <f>IF(E437="","",SUMIFS(RawData!$M$2:$M$50000,RawData!$B$2:$B$50000,"="&amp;Home!$A$5,RawData!$D$2:$D$50000,"="&amp;Home!$E437))</f>
        <v/>
      </c>
      <c r="G437" s="26" t="str">
        <f>IF(E437="","",SUMIFS(RawData!$N$2:$N$50000,RawData!$B$2:$B$50000,"="&amp;Home!$A$5,RawData!$D$2:$D$50000,"="&amp;Home!$E437))</f>
        <v/>
      </c>
      <c r="H437" s="27" t="str">
        <f t="array" ref="H437">IFERROR(SUM(IF(FREQUENCY(IF(RawData!$D$2:$D$50000=Home!E437,MATCH(RawData!$H$2:$H$50000,RawData!$H$2:$H$50000,0)),ROW(RawData!$D$2:$D$50000)-ROW(RawData!$D$2)+1),RawData!$J$2:$J$50000)),"")</f>
        <v/>
      </c>
    </row>
    <row r="438" spans="5:8" x14ac:dyDescent="0.2">
      <c r="E438" s="28"/>
      <c r="F438" s="25" t="str">
        <f>IF(E438="","",SUMIFS(RawData!$M$2:$M$50000,RawData!$B$2:$B$50000,"="&amp;Home!$A$5,RawData!$D$2:$D$50000,"="&amp;Home!$E438))</f>
        <v/>
      </c>
      <c r="G438" s="26" t="str">
        <f>IF(E438="","",SUMIFS(RawData!$N$2:$N$50000,RawData!$B$2:$B$50000,"="&amp;Home!$A$5,RawData!$D$2:$D$50000,"="&amp;Home!$E438))</f>
        <v/>
      </c>
      <c r="H438" s="27" t="str">
        <f t="array" ref="H438">IFERROR(SUM(IF(FREQUENCY(IF(RawData!$D$2:$D$50000=Home!E438,MATCH(RawData!$H$2:$H$50000,RawData!$H$2:$H$50000,0)),ROW(RawData!$D$2:$D$50000)-ROW(RawData!$D$2)+1),RawData!$J$2:$J$50000)),"")</f>
        <v/>
      </c>
    </row>
    <row r="439" spans="5:8" x14ac:dyDescent="0.2">
      <c r="E439" s="28"/>
      <c r="F439" s="25" t="str">
        <f>IF(E439="","",SUMIFS(RawData!$M$2:$M$50000,RawData!$B$2:$B$50000,"="&amp;Home!$A$5,RawData!$D$2:$D$50000,"="&amp;Home!$E439))</f>
        <v/>
      </c>
      <c r="G439" s="26" t="str">
        <f>IF(E439="","",SUMIFS(RawData!$N$2:$N$50000,RawData!$B$2:$B$50000,"="&amp;Home!$A$5,RawData!$D$2:$D$50000,"="&amp;Home!$E439))</f>
        <v/>
      </c>
      <c r="H439" s="27" t="str">
        <f t="array" ref="H439">IFERROR(SUM(IF(FREQUENCY(IF(RawData!$D$2:$D$50000=Home!E439,MATCH(RawData!$H$2:$H$50000,RawData!$H$2:$H$50000,0)),ROW(RawData!$D$2:$D$50000)-ROW(RawData!$D$2)+1),RawData!$J$2:$J$50000)),"")</f>
        <v/>
      </c>
    </row>
    <row r="440" spans="5:8" x14ac:dyDescent="0.2">
      <c r="E440" s="28"/>
      <c r="F440" s="25" t="str">
        <f>IF(E440="","",SUMIFS(RawData!$M$2:$M$50000,RawData!$B$2:$B$50000,"="&amp;Home!$A$5,RawData!$D$2:$D$50000,"="&amp;Home!$E440))</f>
        <v/>
      </c>
      <c r="G440" s="26" t="str">
        <f>IF(E440="","",SUMIFS(RawData!$N$2:$N$50000,RawData!$B$2:$B$50000,"="&amp;Home!$A$5,RawData!$D$2:$D$50000,"="&amp;Home!$E440))</f>
        <v/>
      </c>
      <c r="H440" s="27" t="str">
        <f t="array" ref="H440">IFERROR(SUM(IF(FREQUENCY(IF(RawData!$D$2:$D$50000=Home!E440,MATCH(RawData!$H$2:$H$50000,RawData!$H$2:$H$50000,0)),ROW(RawData!$D$2:$D$50000)-ROW(RawData!$D$2)+1),RawData!$J$2:$J$50000)),"")</f>
        <v/>
      </c>
    </row>
    <row r="441" spans="5:8" x14ac:dyDescent="0.2">
      <c r="E441" s="28"/>
      <c r="F441" s="25" t="str">
        <f>IF(E441="","",SUMIFS(RawData!$M$2:$M$50000,RawData!$B$2:$B$50000,"="&amp;Home!$A$5,RawData!$D$2:$D$50000,"="&amp;Home!$E441))</f>
        <v/>
      </c>
      <c r="G441" s="26" t="str">
        <f>IF(E441="","",SUMIFS(RawData!$N$2:$N$50000,RawData!$B$2:$B$50000,"="&amp;Home!$A$5,RawData!$D$2:$D$50000,"="&amp;Home!$E441))</f>
        <v/>
      </c>
      <c r="H441" s="27" t="str">
        <f t="array" ref="H441">IFERROR(SUM(IF(FREQUENCY(IF(RawData!$D$2:$D$50000=Home!E441,MATCH(RawData!$H$2:$H$50000,RawData!$H$2:$H$50000,0)),ROW(RawData!$D$2:$D$50000)-ROW(RawData!$D$2)+1),RawData!$J$2:$J$50000)),"")</f>
        <v/>
      </c>
    </row>
    <row r="442" spans="5:8" x14ac:dyDescent="0.2">
      <c r="E442" s="28"/>
      <c r="F442" s="25" t="str">
        <f>IF(E442="","",SUMIFS(RawData!$M$2:$M$50000,RawData!$B$2:$B$50000,"="&amp;Home!$A$5,RawData!$D$2:$D$50000,"="&amp;Home!$E442))</f>
        <v/>
      </c>
      <c r="G442" s="26" t="str">
        <f>IF(E442="","",SUMIFS(RawData!$N$2:$N$50000,RawData!$B$2:$B$50000,"="&amp;Home!$A$5,RawData!$D$2:$D$50000,"="&amp;Home!$E442))</f>
        <v/>
      </c>
      <c r="H442" s="27" t="str">
        <f t="array" ref="H442">IFERROR(SUM(IF(FREQUENCY(IF(RawData!$D$2:$D$50000=Home!E442,MATCH(RawData!$H$2:$H$50000,RawData!$H$2:$H$50000,0)),ROW(RawData!$D$2:$D$50000)-ROW(RawData!$D$2)+1),RawData!$J$2:$J$50000)),"")</f>
        <v/>
      </c>
    </row>
    <row r="443" spans="5:8" x14ac:dyDescent="0.2">
      <c r="E443" s="28"/>
      <c r="F443" s="25" t="str">
        <f>IF(E443="","",SUMIFS(RawData!$M$2:$M$50000,RawData!$B$2:$B$50000,"="&amp;Home!$A$5,RawData!$D$2:$D$50000,"="&amp;Home!$E443))</f>
        <v/>
      </c>
      <c r="G443" s="26" t="str">
        <f>IF(E443="","",SUMIFS(RawData!$N$2:$N$50000,RawData!$B$2:$B$50000,"="&amp;Home!$A$5,RawData!$D$2:$D$50000,"="&amp;Home!$E443))</f>
        <v/>
      </c>
      <c r="H443" s="27" t="str">
        <f t="array" ref="H443">IFERROR(SUM(IF(FREQUENCY(IF(RawData!$D$2:$D$50000=Home!E443,MATCH(RawData!$H$2:$H$50000,RawData!$H$2:$H$50000,0)),ROW(RawData!$D$2:$D$50000)-ROW(RawData!$D$2)+1),RawData!$J$2:$J$50000)),"")</f>
        <v/>
      </c>
    </row>
    <row r="444" spans="5:8" x14ac:dyDescent="0.2">
      <c r="E444" s="28"/>
      <c r="F444" s="25" t="str">
        <f>IF(E444="","",SUMIFS(RawData!$M$2:$M$50000,RawData!$B$2:$B$50000,"="&amp;Home!$A$5,RawData!$D$2:$D$50000,"="&amp;Home!$E444))</f>
        <v/>
      </c>
      <c r="G444" s="26" t="str">
        <f>IF(E444="","",SUMIFS(RawData!$N$2:$N$50000,RawData!$B$2:$B$50000,"="&amp;Home!$A$5,RawData!$D$2:$D$50000,"="&amp;Home!$E444))</f>
        <v/>
      </c>
      <c r="H444" s="27" t="str">
        <f t="array" ref="H444">IFERROR(SUM(IF(FREQUENCY(IF(RawData!$D$2:$D$50000=Home!E444,MATCH(RawData!$H$2:$H$50000,RawData!$H$2:$H$50000,0)),ROW(RawData!$D$2:$D$50000)-ROW(RawData!$D$2)+1),RawData!$J$2:$J$50000)),"")</f>
        <v/>
      </c>
    </row>
    <row r="445" spans="5:8" x14ac:dyDescent="0.2">
      <c r="E445" s="28"/>
      <c r="F445" s="25" t="str">
        <f>IF(E445="","",SUMIFS(RawData!$M$2:$M$50000,RawData!$B$2:$B$50000,"="&amp;Home!$A$5,RawData!$D$2:$D$50000,"="&amp;Home!$E445))</f>
        <v/>
      </c>
      <c r="G445" s="26" t="str">
        <f>IF(E445="","",SUMIFS(RawData!$N$2:$N$50000,RawData!$B$2:$B$50000,"="&amp;Home!$A$5,RawData!$D$2:$D$50000,"="&amp;Home!$E445))</f>
        <v/>
      </c>
      <c r="H445" s="27" t="str">
        <f t="array" ref="H445">IFERROR(SUM(IF(FREQUENCY(IF(RawData!$D$2:$D$50000=Home!E445,MATCH(RawData!$H$2:$H$50000,RawData!$H$2:$H$50000,0)),ROW(RawData!$D$2:$D$50000)-ROW(RawData!$D$2)+1),RawData!$J$2:$J$50000)),"")</f>
        <v/>
      </c>
    </row>
    <row r="446" spans="5:8" x14ac:dyDescent="0.2">
      <c r="E446" s="28"/>
      <c r="F446" s="25" t="str">
        <f>IF(E446="","",SUMIFS(RawData!$M$2:$M$50000,RawData!$B$2:$B$50000,"="&amp;Home!$A$5,RawData!$D$2:$D$50000,"="&amp;Home!$E446))</f>
        <v/>
      </c>
      <c r="G446" s="26" t="str">
        <f>IF(E446="","",SUMIFS(RawData!$N$2:$N$50000,RawData!$B$2:$B$50000,"="&amp;Home!$A$5,RawData!$D$2:$D$50000,"="&amp;Home!$E446))</f>
        <v/>
      </c>
      <c r="H446" s="27" t="str">
        <f t="array" ref="H446">IFERROR(SUM(IF(FREQUENCY(IF(RawData!$D$2:$D$50000=Home!E446,MATCH(RawData!$H$2:$H$50000,RawData!$H$2:$H$50000,0)),ROW(RawData!$D$2:$D$50000)-ROW(RawData!$D$2)+1),RawData!$J$2:$J$50000)),"")</f>
        <v/>
      </c>
    </row>
    <row r="447" spans="5:8" x14ac:dyDescent="0.2">
      <c r="E447" s="28"/>
      <c r="F447" s="25" t="str">
        <f>IF(E447="","",SUMIFS(RawData!$M$2:$M$50000,RawData!$B$2:$B$50000,"="&amp;Home!$A$5,RawData!$D$2:$D$50000,"="&amp;Home!$E447))</f>
        <v/>
      </c>
      <c r="G447" s="26" t="str">
        <f>IF(E447="","",SUMIFS(RawData!$N$2:$N$50000,RawData!$B$2:$B$50000,"="&amp;Home!$A$5,RawData!$D$2:$D$50000,"="&amp;Home!$E447))</f>
        <v/>
      </c>
      <c r="H447" s="27" t="str">
        <f t="array" ref="H447">IFERROR(SUM(IF(FREQUENCY(IF(RawData!$D$2:$D$50000=Home!E447,MATCH(RawData!$H$2:$H$50000,RawData!$H$2:$H$50000,0)),ROW(RawData!$D$2:$D$50000)-ROW(RawData!$D$2)+1),RawData!$J$2:$J$50000)),"")</f>
        <v/>
      </c>
    </row>
    <row r="448" spans="5:8" x14ac:dyDescent="0.2">
      <c r="E448" s="28"/>
      <c r="F448" s="25" t="str">
        <f>IF(E448="","",SUMIFS(RawData!$M$2:$M$50000,RawData!$B$2:$B$50000,"="&amp;Home!$A$5,RawData!$D$2:$D$50000,"="&amp;Home!$E448))</f>
        <v/>
      </c>
      <c r="G448" s="26" t="str">
        <f>IF(E448="","",SUMIFS(RawData!$N$2:$N$50000,RawData!$B$2:$B$50000,"="&amp;Home!$A$5,RawData!$D$2:$D$50000,"="&amp;Home!$E448))</f>
        <v/>
      </c>
      <c r="H448" s="27" t="str">
        <f t="array" ref="H448">IFERROR(SUM(IF(FREQUENCY(IF(RawData!$D$2:$D$50000=Home!E448,MATCH(RawData!$H$2:$H$50000,RawData!$H$2:$H$50000,0)),ROW(RawData!$D$2:$D$50000)-ROW(RawData!$D$2)+1),RawData!$J$2:$J$50000)),"")</f>
        <v/>
      </c>
    </row>
    <row r="449" spans="5:8" x14ac:dyDescent="0.2">
      <c r="E449" s="28"/>
      <c r="F449" s="25" t="str">
        <f>IF(E449="","",SUMIFS(RawData!$M$2:$M$50000,RawData!$B$2:$B$50000,"="&amp;Home!$A$5,RawData!$D$2:$D$50000,"="&amp;Home!$E449))</f>
        <v/>
      </c>
      <c r="G449" s="26" t="str">
        <f>IF(E449="","",SUMIFS(RawData!$N$2:$N$50000,RawData!$B$2:$B$50000,"="&amp;Home!$A$5,RawData!$D$2:$D$50000,"="&amp;Home!$E449))</f>
        <v/>
      </c>
      <c r="H449" s="27" t="str">
        <f t="array" ref="H449">IFERROR(SUM(IF(FREQUENCY(IF(RawData!$D$2:$D$50000=Home!E449,MATCH(RawData!$H$2:$H$50000,RawData!$H$2:$H$50000,0)),ROW(RawData!$D$2:$D$50000)-ROW(RawData!$D$2)+1),RawData!$J$2:$J$50000)),"")</f>
        <v/>
      </c>
    </row>
    <row r="450" spans="5:8" x14ac:dyDescent="0.2">
      <c r="E450" s="28"/>
      <c r="F450" s="25" t="str">
        <f>IF(E450="","",SUMIFS(RawData!$M$2:$M$50000,RawData!$B$2:$B$50000,"="&amp;Home!$A$5,RawData!$D$2:$D$50000,"="&amp;Home!$E450))</f>
        <v/>
      </c>
      <c r="G450" s="26" t="str">
        <f>IF(E450="","",SUMIFS(RawData!$N$2:$N$50000,RawData!$B$2:$B$50000,"="&amp;Home!$A$5,RawData!$D$2:$D$50000,"="&amp;Home!$E450))</f>
        <v/>
      </c>
      <c r="H450" s="27" t="str">
        <f t="array" ref="H450">IFERROR(SUM(IF(FREQUENCY(IF(RawData!$D$2:$D$50000=Home!E450,MATCH(RawData!$H$2:$H$50000,RawData!$H$2:$H$50000,0)),ROW(RawData!$D$2:$D$50000)-ROW(RawData!$D$2)+1),RawData!$J$2:$J$50000)),"")</f>
        <v/>
      </c>
    </row>
    <row r="451" spans="5:8" x14ac:dyDescent="0.2">
      <c r="E451" s="28"/>
      <c r="F451" s="25" t="str">
        <f>IF(E451="","",SUMIFS(RawData!$M$2:$M$50000,RawData!$B$2:$B$50000,"="&amp;Home!$A$5,RawData!$D$2:$D$50000,"="&amp;Home!$E451))</f>
        <v/>
      </c>
      <c r="G451" s="26" t="str">
        <f>IF(E451="","",SUMIFS(RawData!$N$2:$N$50000,RawData!$B$2:$B$50000,"="&amp;Home!$A$5,RawData!$D$2:$D$50000,"="&amp;Home!$E451))</f>
        <v/>
      </c>
      <c r="H451" s="27" t="str">
        <f t="array" ref="H451">IFERROR(SUM(IF(FREQUENCY(IF(RawData!$D$2:$D$50000=Home!E451,MATCH(RawData!$H$2:$H$50000,RawData!$H$2:$H$50000,0)),ROW(RawData!$D$2:$D$50000)-ROW(RawData!$D$2)+1),RawData!$J$2:$J$50000)),"")</f>
        <v/>
      </c>
    </row>
    <row r="452" spans="5:8" x14ac:dyDescent="0.2">
      <c r="E452" s="28"/>
      <c r="F452" s="25" t="str">
        <f>IF(E452="","",SUMIFS(RawData!$M$2:$M$50000,RawData!$B$2:$B$50000,"="&amp;Home!$A$5,RawData!$D$2:$D$50000,"="&amp;Home!$E452))</f>
        <v/>
      </c>
      <c r="G452" s="26" t="str">
        <f>IF(E452="","",SUMIFS(RawData!$N$2:$N$50000,RawData!$B$2:$B$50000,"="&amp;Home!$A$5,RawData!$D$2:$D$50000,"="&amp;Home!$E452))</f>
        <v/>
      </c>
      <c r="H452" s="27" t="str">
        <f t="array" ref="H452">IFERROR(SUM(IF(FREQUENCY(IF(RawData!$D$2:$D$50000=Home!E452,MATCH(RawData!$H$2:$H$50000,RawData!$H$2:$H$50000,0)),ROW(RawData!$D$2:$D$50000)-ROW(RawData!$D$2)+1),RawData!$J$2:$J$50000)),"")</f>
        <v/>
      </c>
    </row>
    <row r="453" spans="5:8" x14ac:dyDescent="0.2">
      <c r="E453" s="28"/>
      <c r="F453" s="25" t="str">
        <f>IF(E453="","",SUMIFS(RawData!$M$2:$M$50000,RawData!$B$2:$B$50000,"="&amp;Home!$A$5,RawData!$D$2:$D$50000,"="&amp;Home!$E453))</f>
        <v/>
      </c>
      <c r="G453" s="26" t="str">
        <f>IF(E453="","",SUMIFS(RawData!$N$2:$N$50000,RawData!$B$2:$B$50000,"="&amp;Home!$A$5,RawData!$D$2:$D$50000,"="&amp;Home!$E453))</f>
        <v/>
      </c>
      <c r="H453" s="27" t="str">
        <f t="array" ref="H453">IFERROR(SUM(IF(FREQUENCY(IF(RawData!$D$2:$D$50000=Home!E453,MATCH(RawData!$H$2:$H$50000,RawData!$H$2:$H$50000,0)),ROW(RawData!$D$2:$D$50000)-ROW(RawData!$D$2)+1),RawData!$J$2:$J$50000)),"")</f>
        <v/>
      </c>
    </row>
    <row r="454" spans="5:8" x14ac:dyDescent="0.2">
      <c r="E454" s="28"/>
      <c r="F454" s="25" t="str">
        <f>IF(E454="","",SUMIFS(RawData!$M$2:$M$50000,RawData!$B$2:$B$50000,"="&amp;Home!$A$5,RawData!$D$2:$D$50000,"="&amp;Home!$E454))</f>
        <v/>
      </c>
      <c r="G454" s="26" t="str">
        <f>IF(E454="","",SUMIFS(RawData!$N$2:$N$50000,RawData!$B$2:$B$50000,"="&amp;Home!$A$5,RawData!$D$2:$D$50000,"="&amp;Home!$E454))</f>
        <v/>
      </c>
      <c r="H454" s="27" t="str">
        <f t="array" ref="H454">IFERROR(SUM(IF(FREQUENCY(IF(RawData!$D$2:$D$50000=Home!E454,MATCH(RawData!$H$2:$H$50000,RawData!$H$2:$H$50000,0)),ROW(RawData!$D$2:$D$50000)-ROW(RawData!$D$2)+1),RawData!$J$2:$J$50000)),"")</f>
        <v/>
      </c>
    </row>
    <row r="455" spans="5:8" x14ac:dyDescent="0.2">
      <c r="E455" s="28"/>
      <c r="F455" s="25" t="str">
        <f>IF(E455="","",SUMIFS(RawData!$M$2:$M$50000,RawData!$B$2:$B$50000,"="&amp;Home!$A$5,RawData!$D$2:$D$50000,"="&amp;Home!$E455))</f>
        <v/>
      </c>
      <c r="G455" s="26" t="str">
        <f>IF(E455="","",SUMIFS(RawData!$N$2:$N$50000,RawData!$B$2:$B$50000,"="&amp;Home!$A$5,RawData!$D$2:$D$50000,"="&amp;Home!$E455))</f>
        <v/>
      </c>
      <c r="H455" s="27" t="str">
        <f t="array" ref="H455">IFERROR(SUM(IF(FREQUENCY(IF(RawData!$D$2:$D$50000=Home!E455,MATCH(RawData!$H$2:$H$50000,RawData!$H$2:$H$50000,0)),ROW(RawData!$D$2:$D$50000)-ROW(RawData!$D$2)+1),RawData!$J$2:$J$50000)),"")</f>
        <v/>
      </c>
    </row>
    <row r="456" spans="5:8" x14ac:dyDescent="0.2">
      <c r="E456" s="28"/>
      <c r="F456" s="25" t="str">
        <f>IF(E456="","",SUMIFS(RawData!$M$2:$M$50000,RawData!$B$2:$B$50000,"="&amp;Home!$A$5,RawData!$D$2:$D$50000,"="&amp;Home!$E456))</f>
        <v/>
      </c>
      <c r="G456" s="26" t="str">
        <f>IF(E456="","",SUMIFS(RawData!$N$2:$N$50000,RawData!$B$2:$B$50000,"="&amp;Home!$A$5,RawData!$D$2:$D$50000,"="&amp;Home!$E456))</f>
        <v/>
      </c>
      <c r="H456" s="27" t="str">
        <f t="array" ref="H456">IFERROR(SUM(IF(FREQUENCY(IF(RawData!$D$2:$D$50000=Home!E456,MATCH(RawData!$H$2:$H$50000,RawData!$H$2:$H$50000,0)),ROW(RawData!$D$2:$D$50000)-ROW(RawData!$D$2)+1),RawData!$J$2:$J$50000)),"")</f>
        <v/>
      </c>
    </row>
    <row r="457" spans="5:8" x14ac:dyDescent="0.2">
      <c r="E457" s="28"/>
      <c r="F457" s="25" t="str">
        <f>IF(E457="","",SUMIFS(RawData!$M$2:$M$50000,RawData!$B$2:$B$50000,"="&amp;Home!$A$5,RawData!$D$2:$D$50000,"="&amp;Home!$E457))</f>
        <v/>
      </c>
      <c r="G457" s="26" t="str">
        <f>IF(E457="","",SUMIFS(RawData!$N$2:$N$50000,RawData!$B$2:$B$50000,"="&amp;Home!$A$5,RawData!$D$2:$D$50000,"="&amp;Home!$E457))</f>
        <v/>
      </c>
      <c r="H457" s="27" t="str">
        <f t="array" ref="H457">IFERROR(SUM(IF(FREQUENCY(IF(RawData!$D$2:$D$50000=Home!E457,MATCH(RawData!$H$2:$H$50000,RawData!$H$2:$H$50000,0)),ROW(RawData!$D$2:$D$50000)-ROW(RawData!$D$2)+1),RawData!$J$2:$J$50000)),"")</f>
        <v/>
      </c>
    </row>
    <row r="458" spans="5:8" x14ac:dyDescent="0.2">
      <c r="E458" s="28"/>
      <c r="F458" s="25" t="str">
        <f>IF(E458="","",SUMIFS(RawData!$M$2:$M$50000,RawData!$B$2:$B$50000,"="&amp;Home!$A$5,RawData!$D$2:$D$50000,"="&amp;Home!$E458))</f>
        <v/>
      </c>
      <c r="G458" s="26" t="str">
        <f>IF(E458="","",SUMIFS(RawData!$N$2:$N$50000,RawData!$B$2:$B$50000,"="&amp;Home!$A$5,RawData!$D$2:$D$50000,"="&amp;Home!$E458))</f>
        <v/>
      </c>
      <c r="H458" s="27" t="str">
        <f t="array" ref="H458">IFERROR(SUM(IF(FREQUENCY(IF(RawData!$D$2:$D$50000=Home!E458,MATCH(RawData!$H$2:$H$50000,RawData!$H$2:$H$50000,0)),ROW(RawData!$D$2:$D$50000)-ROW(RawData!$D$2)+1),RawData!$J$2:$J$50000)),"")</f>
        <v/>
      </c>
    </row>
    <row r="459" spans="5:8" x14ac:dyDescent="0.2">
      <c r="E459" s="28"/>
      <c r="F459" s="25" t="str">
        <f>IF(E459="","",SUMIFS(RawData!$M$2:$M$50000,RawData!$B$2:$B$50000,"="&amp;Home!$A$5,RawData!$D$2:$D$50000,"="&amp;Home!$E459))</f>
        <v/>
      </c>
      <c r="G459" s="26" t="str">
        <f>IF(E459="","",SUMIFS(RawData!$N$2:$N$50000,RawData!$B$2:$B$50000,"="&amp;Home!$A$5,RawData!$D$2:$D$50000,"="&amp;Home!$E459))</f>
        <v/>
      </c>
      <c r="H459" s="27" t="str">
        <f t="array" ref="H459">IFERROR(SUM(IF(FREQUENCY(IF(RawData!$D$2:$D$50000=Home!E459,MATCH(RawData!$H$2:$H$50000,RawData!$H$2:$H$50000,0)),ROW(RawData!$D$2:$D$50000)-ROW(RawData!$D$2)+1),RawData!$J$2:$J$50000)),"")</f>
        <v/>
      </c>
    </row>
    <row r="460" spans="5:8" x14ac:dyDescent="0.2">
      <c r="E460" s="28"/>
      <c r="F460" s="25" t="str">
        <f>IF(E460="","",SUMIFS(RawData!$M$2:$M$50000,RawData!$B$2:$B$50000,"="&amp;Home!$A$5,RawData!$D$2:$D$50000,"="&amp;Home!$E460))</f>
        <v/>
      </c>
      <c r="G460" s="26" t="str">
        <f>IF(E460="","",SUMIFS(RawData!$N$2:$N$50000,RawData!$B$2:$B$50000,"="&amp;Home!$A$5,RawData!$D$2:$D$50000,"="&amp;Home!$E460))</f>
        <v/>
      </c>
      <c r="H460" s="27" t="str">
        <f t="array" ref="H460">IFERROR(SUM(IF(FREQUENCY(IF(RawData!$D$2:$D$50000=Home!E460,MATCH(RawData!$H$2:$H$50000,RawData!$H$2:$H$50000,0)),ROW(RawData!$D$2:$D$50000)-ROW(RawData!$D$2)+1),RawData!$J$2:$J$50000)),"")</f>
        <v/>
      </c>
    </row>
    <row r="461" spans="5:8" x14ac:dyDescent="0.2">
      <c r="E461" s="28"/>
      <c r="F461" s="25" t="str">
        <f>IF(E461="","",SUMIFS(RawData!$M$2:$M$50000,RawData!$B$2:$B$50000,"="&amp;Home!$A$5,RawData!$D$2:$D$50000,"="&amp;Home!$E461))</f>
        <v/>
      </c>
      <c r="G461" s="26" t="str">
        <f>IF(E461="","",SUMIFS(RawData!$N$2:$N$50000,RawData!$B$2:$B$50000,"="&amp;Home!$A$5,RawData!$D$2:$D$50000,"="&amp;Home!$E461))</f>
        <v/>
      </c>
      <c r="H461" s="27" t="str">
        <f t="array" ref="H461">IFERROR(SUM(IF(FREQUENCY(IF(RawData!$D$2:$D$50000=Home!E461,MATCH(RawData!$H$2:$H$50000,RawData!$H$2:$H$50000,0)),ROW(RawData!$D$2:$D$50000)-ROW(RawData!$D$2)+1),RawData!$J$2:$J$50000)),"")</f>
        <v/>
      </c>
    </row>
    <row r="462" spans="5:8" x14ac:dyDescent="0.2">
      <c r="E462" s="28"/>
      <c r="F462" s="25" t="str">
        <f>IF(E462="","",SUMIFS(RawData!$M$2:$M$50000,RawData!$B$2:$B$50000,"="&amp;Home!$A$5,RawData!$D$2:$D$50000,"="&amp;Home!$E462))</f>
        <v/>
      </c>
      <c r="G462" s="26" t="str">
        <f>IF(E462="","",SUMIFS(RawData!$N$2:$N$50000,RawData!$B$2:$B$50000,"="&amp;Home!$A$5,RawData!$D$2:$D$50000,"="&amp;Home!$E462))</f>
        <v/>
      </c>
      <c r="H462" s="27" t="str">
        <f t="array" ref="H462">IFERROR(SUM(IF(FREQUENCY(IF(RawData!$D$2:$D$50000=Home!E462,MATCH(RawData!$H$2:$H$50000,RawData!$H$2:$H$50000,0)),ROW(RawData!$D$2:$D$50000)-ROW(RawData!$D$2)+1),RawData!$J$2:$J$50000)),"")</f>
        <v/>
      </c>
    </row>
    <row r="463" spans="5:8" x14ac:dyDescent="0.2">
      <c r="E463" s="28"/>
      <c r="F463" s="25" t="str">
        <f>IF(E463="","",SUMIFS(RawData!$M$2:$M$50000,RawData!$B$2:$B$50000,"="&amp;Home!$A$5,RawData!$D$2:$D$50000,"="&amp;Home!$E463))</f>
        <v/>
      </c>
      <c r="G463" s="26" t="str">
        <f>IF(E463="","",SUMIFS(RawData!$N$2:$N$50000,RawData!$B$2:$B$50000,"="&amp;Home!$A$5,RawData!$D$2:$D$50000,"="&amp;Home!$E463))</f>
        <v/>
      </c>
      <c r="H463" s="27" t="str">
        <f t="array" ref="H463">IFERROR(SUM(IF(FREQUENCY(IF(RawData!$D$2:$D$50000=Home!E463,MATCH(RawData!$H$2:$H$50000,RawData!$H$2:$H$50000,0)),ROW(RawData!$D$2:$D$50000)-ROW(RawData!$D$2)+1),RawData!$J$2:$J$50000)),"")</f>
        <v/>
      </c>
    </row>
    <row r="464" spans="5:8" x14ac:dyDescent="0.2">
      <c r="E464" s="28"/>
      <c r="F464" s="25" t="str">
        <f>IF(E464="","",SUMIFS(RawData!$M$2:$M$50000,RawData!$B$2:$B$50000,"="&amp;Home!$A$5,RawData!$D$2:$D$50000,"="&amp;Home!$E464))</f>
        <v/>
      </c>
      <c r="G464" s="26" t="str">
        <f>IF(E464="","",SUMIFS(RawData!$N$2:$N$50000,RawData!$B$2:$B$50000,"="&amp;Home!$A$5,RawData!$D$2:$D$50000,"="&amp;Home!$E464))</f>
        <v/>
      </c>
      <c r="H464" s="27" t="str">
        <f t="array" ref="H464">IFERROR(SUM(IF(FREQUENCY(IF(RawData!$D$2:$D$50000=Home!E464,MATCH(RawData!$H$2:$H$50000,RawData!$H$2:$H$50000,0)),ROW(RawData!$D$2:$D$50000)-ROW(RawData!$D$2)+1),RawData!$J$2:$J$50000)),"")</f>
        <v/>
      </c>
    </row>
    <row r="465" spans="5:8" x14ac:dyDescent="0.2">
      <c r="E465" s="28"/>
      <c r="F465" s="25" t="str">
        <f>IF(E465="","",SUMIFS(RawData!$M$2:$M$50000,RawData!$B$2:$B$50000,"="&amp;Home!$A$5,RawData!$D$2:$D$50000,"="&amp;Home!$E465))</f>
        <v/>
      </c>
      <c r="G465" s="26" t="str">
        <f>IF(E465="","",SUMIFS(RawData!$N$2:$N$50000,RawData!$B$2:$B$50000,"="&amp;Home!$A$5,RawData!$D$2:$D$50000,"="&amp;Home!$E465))</f>
        <v/>
      </c>
      <c r="H465" s="27" t="str">
        <f t="array" ref="H465">IFERROR(SUM(IF(FREQUENCY(IF(RawData!$D$2:$D$50000=Home!E465,MATCH(RawData!$H$2:$H$50000,RawData!$H$2:$H$50000,0)),ROW(RawData!$D$2:$D$50000)-ROW(RawData!$D$2)+1),RawData!$J$2:$J$50000)),"")</f>
        <v/>
      </c>
    </row>
    <row r="466" spans="5:8" x14ac:dyDescent="0.2">
      <c r="E466" s="28"/>
      <c r="F466" s="25" t="str">
        <f>IF(E466="","",SUMIFS(RawData!$M$2:$M$50000,RawData!$B$2:$B$50000,"="&amp;Home!$A$5,RawData!$D$2:$D$50000,"="&amp;Home!$E466))</f>
        <v/>
      </c>
      <c r="G466" s="26" t="str">
        <f>IF(E466="","",SUMIFS(RawData!$N$2:$N$50000,RawData!$B$2:$B$50000,"="&amp;Home!$A$5,RawData!$D$2:$D$50000,"="&amp;Home!$E466))</f>
        <v/>
      </c>
      <c r="H466" s="27" t="str">
        <f t="array" ref="H466">IFERROR(SUM(IF(FREQUENCY(IF(RawData!$D$2:$D$50000=Home!E466,MATCH(RawData!$H$2:$H$50000,RawData!$H$2:$H$50000,0)),ROW(RawData!$D$2:$D$50000)-ROW(RawData!$D$2)+1),RawData!$J$2:$J$50000)),"")</f>
        <v/>
      </c>
    </row>
    <row r="467" spans="5:8" x14ac:dyDescent="0.2">
      <c r="E467" s="28"/>
      <c r="F467" s="25" t="str">
        <f>IF(E467="","",SUMIFS(RawData!$M$2:$M$50000,RawData!$B$2:$B$50000,"="&amp;Home!$A$5,RawData!$D$2:$D$50000,"="&amp;Home!$E467))</f>
        <v/>
      </c>
      <c r="G467" s="26" t="str">
        <f>IF(E467="","",SUMIFS(RawData!$N$2:$N$50000,RawData!$B$2:$B$50000,"="&amp;Home!$A$5,RawData!$D$2:$D$50000,"="&amp;Home!$E467))</f>
        <v/>
      </c>
      <c r="H467" s="27" t="str">
        <f t="array" ref="H467">IFERROR(SUM(IF(FREQUENCY(IF(RawData!$D$2:$D$50000=Home!E467,MATCH(RawData!$H$2:$H$50000,RawData!$H$2:$H$50000,0)),ROW(RawData!$D$2:$D$50000)-ROW(RawData!$D$2)+1),RawData!$J$2:$J$50000)),"")</f>
        <v/>
      </c>
    </row>
    <row r="468" spans="5:8" x14ac:dyDescent="0.2">
      <c r="E468" s="28"/>
      <c r="F468" s="25" t="str">
        <f>IF(E468="","",SUMIFS(RawData!$M$2:$M$50000,RawData!$B$2:$B$50000,"="&amp;Home!$A$5,RawData!$D$2:$D$50000,"="&amp;Home!$E468))</f>
        <v/>
      </c>
      <c r="G468" s="26" t="str">
        <f>IF(E468="","",SUMIFS(RawData!$N$2:$N$50000,RawData!$B$2:$B$50000,"="&amp;Home!$A$5,RawData!$D$2:$D$50000,"="&amp;Home!$E468))</f>
        <v/>
      </c>
      <c r="H468" s="27" t="str">
        <f t="array" ref="H468">IFERROR(SUM(IF(FREQUENCY(IF(RawData!$D$2:$D$50000=Home!E468,MATCH(RawData!$H$2:$H$50000,RawData!$H$2:$H$50000,0)),ROW(RawData!$D$2:$D$50000)-ROW(RawData!$D$2)+1),RawData!$J$2:$J$50000)),"")</f>
        <v/>
      </c>
    </row>
    <row r="469" spans="5:8" x14ac:dyDescent="0.2">
      <c r="E469" s="28"/>
      <c r="F469" s="25" t="str">
        <f>IF(E469="","",SUMIFS(RawData!$M$2:$M$50000,RawData!$B$2:$B$50000,"="&amp;Home!$A$5,RawData!$D$2:$D$50000,"="&amp;Home!$E469))</f>
        <v/>
      </c>
      <c r="G469" s="26" t="str">
        <f>IF(E469="","",SUMIFS(RawData!$N$2:$N$50000,RawData!$B$2:$B$50000,"="&amp;Home!$A$5,RawData!$D$2:$D$50000,"="&amp;Home!$E469))</f>
        <v/>
      </c>
      <c r="H469" s="27" t="str">
        <f t="array" ref="H469">IFERROR(SUM(IF(FREQUENCY(IF(RawData!$D$2:$D$50000=Home!E469,MATCH(RawData!$H$2:$H$50000,RawData!$H$2:$H$50000,0)),ROW(RawData!$D$2:$D$50000)-ROW(RawData!$D$2)+1),RawData!$J$2:$J$50000)),"")</f>
        <v/>
      </c>
    </row>
    <row r="470" spans="5:8" x14ac:dyDescent="0.2">
      <c r="E470" s="28"/>
      <c r="F470" s="25" t="str">
        <f>IF(E470="","",SUMIFS(RawData!$M$2:$M$50000,RawData!$B$2:$B$50000,"="&amp;Home!$A$5,RawData!$D$2:$D$50000,"="&amp;Home!$E470))</f>
        <v/>
      </c>
      <c r="G470" s="26" t="str">
        <f>IF(E470="","",SUMIFS(RawData!$N$2:$N$50000,RawData!$B$2:$B$50000,"="&amp;Home!$A$5,RawData!$D$2:$D$50000,"="&amp;Home!$E470))</f>
        <v/>
      </c>
      <c r="H470" s="27" t="str">
        <f t="array" ref="H470">IFERROR(SUM(IF(FREQUENCY(IF(RawData!$D$2:$D$50000=Home!E470,MATCH(RawData!$H$2:$H$50000,RawData!$H$2:$H$50000,0)),ROW(RawData!$D$2:$D$50000)-ROW(RawData!$D$2)+1),RawData!$J$2:$J$50000)),"")</f>
        <v/>
      </c>
    </row>
    <row r="471" spans="5:8" x14ac:dyDescent="0.2">
      <c r="E471" s="28"/>
      <c r="F471" s="25" t="str">
        <f>IF(E471="","",SUMIFS(RawData!$M$2:$M$50000,RawData!$B$2:$B$50000,"="&amp;Home!$A$5,RawData!$D$2:$D$50000,"="&amp;Home!$E471))</f>
        <v/>
      </c>
      <c r="G471" s="26" t="str">
        <f>IF(E471="","",SUMIFS(RawData!$N$2:$N$50000,RawData!$B$2:$B$50000,"="&amp;Home!$A$5,RawData!$D$2:$D$50000,"="&amp;Home!$E471))</f>
        <v/>
      </c>
      <c r="H471" s="27" t="str">
        <f t="array" ref="H471">IFERROR(SUM(IF(FREQUENCY(IF(RawData!$D$2:$D$50000=Home!E471,MATCH(RawData!$H$2:$H$50000,RawData!$H$2:$H$50000,0)),ROW(RawData!$D$2:$D$50000)-ROW(RawData!$D$2)+1),RawData!$J$2:$J$50000)),"")</f>
        <v/>
      </c>
    </row>
    <row r="472" spans="5:8" x14ac:dyDescent="0.2">
      <c r="E472" s="28"/>
      <c r="F472" s="25" t="str">
        <f>IF(E472="","",SUMIFS(RawData!$M$2:$M$50000,RawData!$B$2:$B$50000,"="&amp;Home!$A$5,RawData!$D$2:$D$50000,"="&amp;Home!$E472))</f>
        <v/>
      </c>
      <c r="G472" s="26" t="str">
        <f>IF(E472="","",SUMIFS(RawData!$N$2:$N$50000,RawData!$B$2:$B$50000,"="&amp;Home!$A$5,RawData!$D$2:$D$50000,"="&amp;Home!$E472))</f>
        <v/>
      </c>
      <c r="H472" s="27" t="str">
        <f t="array" ref="H472">IFERROR(SUM(IF(FREQUENCY(IF(RawData!$D$2:$D$50000=Home!E472,MATCH(RawData!$H$2:$H$50000,RawData!$H$2:$H$50000,0)),ROW(RawData!$D$2:$D$50000)-ROW(RawData!$D$2)+1),RawData!$J$2:$J$50000)),"")</f>
        <v/>
      </c>
    </row>
    <row r="473" spans="5:8" x14ac:dyDescent="0.2">
      <c r="E473" s="28"/>
      <c r="F473" s="25" t="str">
        <f>IF(E473="","",SUMIFS(RawData!$M$2:$M$50000,RawData!$B$2:$B$50000,"="&amp;Home!$A$5,RawData!$D$2:$D$50000,"="&amp;Home!$E473))</f>
        <v/>
      </c>
      <c r="G473" s="26" t="str">
        <f>IF(E473="","",SUMIFS(RawData!$N$2:$N$50000,RawData!$B$2:$B$50000,"="&amp;Home!$A$5,RawData!$D$2:$D$50000,"="&amp;Home!$E473))</f>
        <v/>
      </c>
      <c r="H473" s="27" t="str">
        <f t="array" ref="H473">IFERROR(SUM(IF(FREQUENCY(IF(RawData!$D$2:$D$50000=Home!E473,MATCH(RawData!$H$2:$H$50000,RawData!$H$2:$H$50000,0)),ROW(RawData!$D$2:$D$50000)-ROW(RawData!$D$2)+1),RawData!$J$2:$J$50000)),"")</f>
        <v/>
      </c>
    </row>
    <row r="474" spans="5:8" x14ac:dyDescent="0.2">
      <c r="E474" s="28"/>
      <c r="F474" s="25" t="str">
        <f>IF(E474="","",SUMIFS(RawData!$M$2:$M$50000,RawData!$B$2:$B$50000,"="&amp;Home!$A$5,RawData!$D$2:$D$50000,"="&amp;Home!$E474))</f>
        <v/>
      </c>
      <c r="G474" s="26" t="str">
        <f>IF(E474="","",SUMIFS(RawData!$N$2:$N$50000,RawData!$B$2:$B$50000,"="&amp;Home!$A$5,RawData!$D$2:$D$50000,"="&amp;Home!$E474))</f>
        <v/>
      </c>
      <c r="H474" s="27" t="str">
        <f t="array" ref="H474">IFERROR(SUM(IF(FREQUENCY(IF(RawData!$D$2:$D$50000=Home!E474,MATCH(RawData!$H$2:$H$50000,RawData!$H$2:$H$50000,0)),ROW(RawData!$D$2:$D$50000)-ROW(RawData!$D$2)+1),RawData!$J$2:$J$50000)),"")</f>
        <v/>
      </c>
    </row>
    <row r="475" spans="5:8" x14ac:dyDescent="0.2">
      <c r="E475" s="28"/>
      <c r="F475" s="25" t="str">
        <f>IF(E475="","",SUMIFS(RawData!$M$2:$M$50000,RawData!$B$2:$B$50000,"="&amp;Home!$A$5,RawData!$D$2:$D$50000,"="&amp;Home!$E475))</f>
        <v/>
      </c>
      <c r="G475" s="26" t="str">
        <f>IF(E475="","",SUMIFS(RawData!$N$2:$N$50000,RawData!$B$2:$B$50000,"="&amp;Home!$A$5,RawData!$D$2:$D$50000,"="&amp;Home!$E475))</f>
        <v/>
      </c>
      <c r="H475" s="27" t="str">
        <f t="array" ref="H475">IFERROR(SUM(IF(FREQUENCY(IF(RawData!$D$2:$D$50000=Home!E475,MATCH(RawData!$H$2:$H$50000,RawData!$H$2:$H$50000,0)),ROW(RawData!$D$2:$D$50000)-ROW(RawData!$D$2)+1),RawData!$J$2:$J$50000)),"")</f>
        <v/>
      </c>
    </row>
    <row r="476" spans="5:8" x14ac:dyDescent="0.2">
      <c r="E476" s="28"/>
      <c r="F476" s="25" t="str">
        <f>IF(E476="","",SUMIFS(RawData!$M$2:$M$50000,RawData!$B$2:$B$50000,"="&amp;Home!$A$5,RawData!$D$2:$D$50000,"="&amp;Home!$E476))</f>
        <v/>
      </c>
      <c r="G476" s="26" t="str">
        <f>IF(E476="","",SUMIFS(RawData!$N$2:$N$50000,RawData!$B$2:$B$50000,"="&amp;Home!$A$5,RawData!$D$2:$D$50000,"="&amp;Home!$E476))</f>
        <v/>
      </c>
      <c r="H476" s="27" t="str">
        <f t="array" ref="H476">IFERROR(SUM(IF(FREQUENCY(IF(RawData!$D$2:$D$50000=Home!E476,MATCH(RawData!$H$2:$H$50000,RawData!$H$2:$H$50000,0)),ROW(RawData!$D$2:$D$50000)-ROW(RawData!$D$2)+1),RawData!$J$2:$J$50000)),"")</f>
        <v/>
      </c>
    </row>
    <row r="477" spans="5:8" x14ac:dyDescent="0.2">
      <c r="E477" s="28"/>
      <c r="F477" s="25" t="str">
        <f>IF(E477="","",SUMIFS(RawData!$M$2:$M$50000,RawData!$B$2:$B$50000,"="&amp;Home!$A$5,RawData!$D$2:$D$50000,"="&amp;Home!$E477))</f>
        <v/>
      </c>
      <c r="G477" s="26" t="str">
        <f>IF(E477="","",SUMIFS(RawData!$N$2:$N$50000,RawData!$B$2:$B$50000,"="&amp;Home!$A$5,RawData!$D$2:$D$50000,"="&amp;Home!$E477))</f>
        <v/>
      </c>
      <c r="H477" s="27" t="str">
        <f t="array" ref="H477">IFERROR(SUM(IF(FREQUENCY(IF(RawData!$D$2:$D$50000=Home!E477,MATCH(RawData!$H$2:$H$50000,RawData!$H$2:$H$50000,0)),ROW(RawData!$D$2:$D$50000)-ROW(RawData!$D$2)+1),RawData!$J$2:$J$50000)),"")</f>
        <v/>
      </c>
    </row>
    <row r="478" spans="5:8" x14ac:dyDescent="0.2">
      <c r="E478" s="28"/>
      <c r="F478" s="25" t="str">
        <f>IF(E478="","",SUMIFS(RawData!$M$2:$M$50000,RawData!$B$2:$B$50000,"="&amp;Home!$A$5,RawData!$D$2:$D$50000,"="&amp;Home!$E478))</f>
        <v/>
      </c>
      <c r="G478" s="26" t="str">
        <f>IF(E478="","",SUMIFS(RawData!$N$2:$N$50000,RawData!$B$2:$B$50000,"="&amp;Home!$A$5,RawData!$D$2:$D$50000,"="&amp;Home!$E478))</f>
        <v/>
      </c>
      <c r="H478" s="27" t="str">
        <f t="array" ref="H478">IFERROR(SUM(IF(FREQUENCY(IF(RawData!$D$2:$D$50000=Home!E478,MATCH(RawData!$H$2:$H$50000,RawData!$H$2:$H$50000,0)),ROW(RawData!$D$2:$D$50000)-ROW(RawData!$D$2)+1),RawData!$J$2:$J$50000)),"")</f>
        <v/>
      </c>
    </row>
    <row r="479" spans="5:8" x14ac:dyDescent="0.2">
      <c r="E479" s="28"/>
      <c r="F479" s="25" t="str">
        <f>IF(E479="","",SUMIFS(RawData!$M$2:$M$50000,RawData!$B$2:$B$50000,"="&amp;Home!$A$5,RawData!$D$2:$D$50000,"="&amp;Home!$E479))</f>
        <v/>
      </c>
      <c r="G479" s="26" t="str">
        <f>IF(E479="","",SUMIFS(RawData!$N$2:$N$50000,RawData!$B$2:$B$50000,"="&amp;Home!$A$5,RawData!$D$2:$D$50000,"="&amp;Home!$E479))</f>
        <v/>
      </c>
      <c r="H479" s="27" t="str">
        <f t="array" ref="H479">IFERROR(SUM(IF(FREQUENCY(IF(RawData!$D$2:$D$50000=Home!E479,MATCH(RawData!$H$2:$H$50000,RawData!$H$2:$H$50000,0)),ROW(RawData!$D$2:$D$50000)-ROW(RawData!$D$2)+1),RawData!$J$2:$J$50000)),"")</f>
        <v/>
      </c>
    </row>
    <row r="480" spans="5:8" x14ac:dyDescent="0.2">
      <c r="E480" s="28"/>
      <c r="F480" s="25" t="str">
        <f>IF(E480="","",SUMIFS(RawData!$M$2:$M$50000,RawData!$B$2:$B$50000,"="&amp;Home!$A$5,RawData!$D$2:$D$50000,"="&amp;Home!$E480))</f>
        <v/>
      </c>
      <c r="G480" s="26" t="str">
        <f>IF(E480="","",SUMIFS(RawData!$N$2:$N$50000,RawData!$B$2:$B$50000,"="&amp;Home!$A$5,RawData!$D$2:$D$50000,"="&amp;Home!$E480))</f>
        <v/>
      </c>
      <c r="H480" s="27" t="str">
        <f t="array" ref="H480">IFERROR(SUM(IF(FREQUENCY(IF(RawData!$D$2:$D$50000=Home!E480,MATCH(RawData!$H$2:$H$50000,RawData!$H$2:$H$50000,0)),ROW(RawData!$D$2:$D$50000)-ROW(RawData!$D$2)+1),RawData!$J$2:$J$50000)),"")</f>
        <v/>
      </c>
    </row>
    <row r="481" spans="5:8" x14ac:dyDescent="0.2">
      <c r="E481" s="28"/>
      <c r="F481" s="25" t="str">
        <f>IF(E481="","",SUMIFS(RawData!$M$2:$M$50000,RawData!$B$2:$B$50000,"="&amp;Home!$A$5,RawData!$D$2:$D$50000,"="&amp;Home!$E481))</f>
        <v/>
      </c>
      <c r="G481" s="26" t="str">
        <f>IF(E481="","",SUMIFS(RawData!$N$2:$N$50000,RawData!$B$2:$B$50000,"="&amp;Home!$A$5,RawData!$D$2:$D$50000,"="&amp;Home!$E481))</f>
        <v/>
      </c>
      <c r="H481" s="27" t="str">
        <f t="array" ref="H481">IFERROR(SUM(IF(FREQUENCY(IF(RawData!$D$2:$D$50000=Home!E481,MATCH(RawData!$H$2:$H$50000,RawData!$H$2:$H$50000,0)),ROW(RawData!$D$2:$D$50000)-ROW(RawData!$D$2)+1),RawData!$J$2:$J$50000)),"")</f>
        <v/>
      </c>
    </row>
    <row r="482" spans="5:8" x14ac:dyDescent="0.2">
      <c r="E482" s="28"/>
      <c r="F482" s="25" t="str">
        <f>IF(E482="","",SUMIFS(RawData!$M$2:$M$50000,RawData!$B$2:$B$50000,"="&amp;Home!$A$5,RawData!$D$2:$D$50000,"="&amp;Home!$E482))</f>
        <v/>
      </c>
      <c r="G482" s="26" t="str">
        <f>IF(E482="","",SUMIFS(RawData!$N$2:$N$50000,RawData!$B$2:$B$50000,"="&amp;Home!$A$5,RawData!$D$2:$D$50000,"="&amp;Home!$E482))</f>
        <v/>
      </c>
      <c r="H482" s="27" t="str">
        <f t="array" ref="H482">IFERROR(SUM(IF(FREQUENCY(IF(RawData!$D$2:$D$50000=Home!E482,MATCH(RawData!$H$2:$H$50000,RawData!$H$2:$H$50000,0)),ROW(RawData!$D$2:$D$50000)-ROW(RawData!$D$2)+1),RawData!$J$2:$J$50000)),"")</f>
        <v/>
      </c>
    </row>
    <row r="483" spans="5:8" x14ac:dyDescent="0.2">
      <c r="E483" s="28"/>
      <c r="F483" s="25" t="str">
        <f>IF(E483="","",SUMIFS(RawData!$M$2:$M$50000,RawData!$B$2:$B$50000,"="&amp;Home!$A$5,RawData!$D$2:$D$50000,"="&amp;Home!$E483))</f>
        <v/>
      </c>
      <c r="G483" s="26" t="str">
        <f>IF(E483="","",SUMIFS(RawData!$N$2:$N$50000,RawData!$B$2:$B$50000,"="&amp;Home!$A$5,RawData!$D$2:$D$50000,"="&amp;Home!$E483))</f>
        <v/>
      </c>
      <c r="H483" s="27" t="str">
        <f t="array" ref="H483">IFERROR(SUM(IF(FREQUENCY(IF(RawData!$D$2:$D$50000=Home!E483,MATCH(RawData!$H$2:$H$50000,RawData!$H$2:$H$50000,0)),ROW(RawData!$D$2:$D$50000)-ROW(RawData!$D$2)+1),RawData!$J$2:$J$50000)),"")</f>
        <v/>
      </c>
    </row>
    <row r="484" spans="5:8" x14ac:dyDescent="0.2">
      <c r="E484" s="28"/>
      <c r="F484" s="25" t="str">
        <f>IF(E484="","",SUMIFS(RawData!$M$2:$M$50000,RawData!$B$2:$B$50000,"="&amp;Home!$A$5,RawData!$D$2:$D$50000,"="&amp;Home!$E484))</f>
        <v/>
      </c>
      <c r="G484" s="26" t="str">
        <f>IF(E484="","",SUMIFS(RawData!$N$2:$N$50000,RawData!$B$2:$B$50000,"="&amp;Home!$A$5,RawData!$D$2:$D$50000,"="&amp;Home!$E484))</f>
        <v/>
      </c>
      <c r="H484" s="27" t="str">
        <f t="array" ref="H484">IFERROR(SUM(IF(FREQUENCY(IF(RawData!$D$2:$D$50000=Home!E484,MATCH(RawData!$H$2:$H$50000,RawData!$H$2:$H$50000,0)),ROW(RawData!$D$2:$D$50000)-ROW(RawData!$D$2)+1),RawData!$J$2:$J$50000)),"")</f>
        <v/>
      </c>
    </row>
    <row r="485" spans="5:8" x14ac:dyDescent="0.2">
      <c r="E485" s="28"/>
      <c r="F485" s="25" t="str">
        <f>IF(E485="","",SUMIFS(RawData!$M$2:$M$50000,RawData!$B$2:$B$50000,"="&amp;Home!$A$5,RawData!$D$2:$D$50000,"="&amp;Home!$E485))</f>
        <v/>
      </c>
      <c r="G485" s="26" t="str">
        <f>IF(E485="","",SUMIFS(RawData!$N$2:$N$50000,RawData!$B$2:$B$50000,"="&amp;Home!$A$5,RawData!$D$2:$D$50000,"="&amp;Home!$E485))</f>
        <v/>
      </c>
      <c r="H485" s="27" t="str">
        <f t="array" ref="H485">IFERROR(SUM(IF(FREQUENCY(IF(RawData!$D$2:$D$50000=Home!E485,MATCH(RawData!$H$2:$H$50000,RawData!$H$2:$H$50000,0)),ROW(RawData!$D$2:$D$50000)-ROW(RawData!$D$2)+1),RawData!$J$2:$J$50000)),"")</f>
        <v/>
      </c>
    </row>
    <row r="486" spans="5:8" x14ac:dyDescent="0.2">
      <c r="E486" s="28"/>
      <c r="F486" s="25" t="str">
        <f>IF(E486="","",SUMIFS(RawData!$M$2:$M$50000,RawData!$B$2:$B$50000,"="&amp;Home!$A$5,RawData!$D$2:$D$50000,"="&amp;Home!$E486))</f>
        <v/>
      </c>
      <c r="G486" s="26" t="str">
        <f>IF(E486="","",SUMIFS(RawData!$N$2:$N$50000,RawData!$B$2:$B$50000,"="&amp;Home!$A$5,RawData!$D$2:$D$50000,"="&amp;Home!$E486))</f>
        <v/>
      </c>
      <c r="H486" s="27" t="str">
        <f t="array" ref="H486">IFERROR(SUM(IF(FREQUENCY(IF(RawData!$D$2:$D$50000=Home!E486,MATCH(RawData!$H$2:$H$50000,RawData!$H$2:$H$50000,0)),ROW(RawData!$D$2:$D$50000)-ROW(RawData!$D$2)+1),RawData!$J$2:$J$50000)),"")</f>
        <v/>
      </c>
    </row>
    <row r="487" spans="5:8" x14ac:dyDescent="0.2">
      <c r="E487" s="28"/>
      <c r="F487" s="25" t="str">
        <f>IF(E487="","",SUMIFS(RawData!$M$2:$M$50000,RawData!$B$2:$B$50000,"="&amp;Home!$A$5,RawData!$D$2:$D$50000,"="&amp;Home!$E487))</f>
        <v/>
      </c>
      <c r="G487" s="26" t="str">
        <f>IF(E487="","",SUMIFS(RawData!$N$2:$N$50000,RawData!$B$2:$B$50000,"="&amp;Home!$A$5,RawData!$D$2:$D$50000,"="&amp;Home!$E487))</f>
        <v/>
      </c>
      <c r="H487" s="27" t="str">
        <f t="array" ref="H487">IFERROR(SUM(IF(FREQUENCY(IF(RawData!$D$2:$D$50000=Home!E487,MATCH(RawData!$H$2:$H$50000,RawData!$H$2:$H$50000,0)),ROW(RawData!$D$2:$D$50000)-ROW(RawData!$D$2)+1),RawData!$J$2:$J$50000)),"")</f>
        <v/>
      </c>
    </row>
    <row r="488" spans="5:8" x14ac:dyDescent="0.2">
      <c r="E488" s="28"/>
      <c r="F488" s="25" t="str">
        <f>IF(E488="","",SUMIFS(RawData!$M$2:$M$50000,RawData!$B$2:$B$50000,"="&amp;Home!$A$5,RawData!$D$2:$D$50000,"="&amp;Home!$E488))</f>
        <v/>
      </c>
      <c r="G488" s="26" t="str">
        <f>IF(E488="","",SUMIFS(RawData!$N$2:$N$50000,RawData!$B$2:$B$50000,"="&amp;Home!$A$5,RawData!$D$2:$D$50000,"="&amp;Home!$E488))</f>
        <v/>
      </c>
      <c r="H488" s="27" t="str">
        <f t="array" ref="H488">IFERROR(SUM(IF(FREQUENCY(IF(RawData!$D$2:$D$50000=Home!E488,MATCH(RawData!$H$2:$H$50000,RawData!$H$2:$H$50000,0)),ROW(RawData!$D$2:$D$50000)-ROW(RawData!$D$2)+1),RawData!$J$2:$J$50000)),"")</f>
        <v/>
      </c>
    </row>
    <row r="489" spans="5:8" x14ac:dyDescent="0.2">
      <c r="E489" s="28"/>
      <c r="F489" s="25" t="str">
        <f>IF(E489="","",SUMIFS(RawData!$M$2:$M$50000,RawData!$B$2:$B$50000,"="&amp;Home!$A$5,RawData!$D$2:$D$50000,"="&amp;Home!$E489))</f>
        <v/>
      </c>
      <c r="G489" s="26" t="str">
        <f>IF(E489="","",SUMIFS(RawData!$N$2:$N$50000,RawData!$B$2:$B$50000,"="&amp;Home!$A$5,RawData!$D$2:$D$50000,"="&amp;Home!$E489))</f>
        <v/>
      </c>
      <c r="H489" s="27" t="str">
        <f t="array" ref="H489">IFERROR(SUM(IF(FREQUENCY(IF(RawData!$D$2:$D$50000=Home!E489,MATCH(RawData!$H$2:$H$50000,RawData!$H$2:$H$50000,0)),ROW(RawData!$D$2:$D$50000)-ROW(RawData!$D$2)+1),RawData!$J$2:$J$50000)),"")</f>
        <v/>
      </c>
    </row>
    <row r="490" spans="5:8" x14ac:dyDescent="0.2">
      <c r="E490" s="28"/>
      <c r="F490" s="25" t="str">
        <f>IF(E490="","",SUMIFS(RawData!$M$2:$M$50000,RawData!$B$2:$B$50000,"="&amp;Home!$A$5,RawData!$D$2:$D$50000,"="&amp;Home!$E490))</f>
        <v/>
      </c>
      <c r="G490" s="26" t="str">
        <f>IF(E490="","",SUMIFS(RawData!$N$2:$N$50000,RawData!$B$2:$B$50000,"="&amp;Home!$A$5,RawData!$D$2:$D$50000,"="&amp;Home!$E490))</f>
        <v/>
      </c>
      <c r="H490" s="27" t="str">
        <f t="array" ref="H490">IFERROR(SUM(IF(FREQUENCY(IF(RawData!$D$2:$D$50000=Home!E490,MATCH(RawData!$H$2:$H$50000,RawData!$H$2:$H$50000,0)),ROW(RawData!$D$2:$D$50000)-ROW(RawData!$D$2)+1),RawData!$J$2:$J$50000)),"")</f>
        <v/>
      </c>
    </row>
    <row r="491" spans="5:8" x14ac:dyDescent="0.2">
      <c r="E491" s="28"/>
      <c r="F491" s="25" t="str">
        <f>IF(E491="","",SUMIFS(RawData!$M$2:$M$50000,RawData!$B$2:$B$50000,"="&amp;Home!$A$5,RawData!$D$2:$D$50000,"="&amp;Home!$E491))</f>
        <v/>
      </c>
      <c r="G491" s="26" t="str">
        <f>IF(E491="","",SUMIFS(RawData!$N$2:$N$50000,RawData!$B$2:$B$50000,"="&amp;Home!$A$5,RawData!$D$2:$D$50000,"="&amp;Home!$E491))</f>
        <v/>
      </c>
      <c r="H491" s="27" t="str">
        <f t="array" ref="H491">IFERROR(SUM(IF(FREQUENCY(IF(RawData!$D$2:$D$50000=Home!E491,MATCH(RawData!$H$2:$H$50000,RawData!$H$2:$H$50000,0)),ROW(RawData!$D$2:$D$50000)-ROW(RawData!$D$2)+1),RawData!$J$2:$J$50000)),"")</f>
        <v/>
      </c>
    </row>
    <row r="492" spans="5:8" x14ac:dyDescent="0.2">
      <c r="E492" s="28"/>
      <c r="F492" s="25" t="str">
        <f>IF(E492="","",SUMIFS(RawData!$M$2:$M$50000,RawData!$B$2:$B$50000,"="&amp;Home!$A$5,RawData!$D$2:$D$50000,"="&amp;Home!$E492))</f>
        <v/>
      </c>
      <c r="G492" s="26" t="str">
        <f>IF(E492="","",SUMIFS(RawData!$N$2:$N$50000,RawData!$B$2:$B$50000,"="&amp;Home!$A$5,RawData!$D$2:$D$50000,"="&amp;Home!$E492))</f>
        <v/>
      </c>
      <c r="H492" s="27" t="str">
        <f t="array" ref="H492">IFERROR(SUM(IF(FREQUENCY(IF(RawData!$D$2:$D$50000=Home!E492,MATCH(RawData!$H$2:$H$50000,RawData!$H$2:$H$50000,0)),ROW(RawData!$D$2:$D$50000)-ROW(RawData!$D$2)+1),RawData!$J$2:$J$50000)),"")</f>
        <v/>
      </c>
    </row>
    <row r="493" spans="5:8" x14ac:dyDescent="0.2">
      <c r="E493" s="28"/>
      <c r="F493" s="25" t="str">
        <f>IF(E493="","",SUMIFS(RawData!$M$2:$M$50000,RawData!$B$2:$B$50000,"="&amp;Home!$A$5,RawData!$D$2:$D$50000,"="&amp;Home!$E493))</f>
        <v/>
      </c>
      <c r="G493" s="26" t="str">
        <f>IF(E493="","",SUMIFS(RawData!$N$2:$N$50000,RawData!$B$2:$B$50000,"="&amp;Home!$A$5,RawData!$D$2:$D$50000,"="&amp;Home!$E493))</f>
        <v/>
      </c>
      <c r="H493" s="27" t="str">
        <f t="array" ref="H493">IFERROR(SUM(IF(FREQUENCY(IF(RawData!$D$2:$D$50000=Home!E493,MATCH(RawData!$H$2:$H$50000,RawData!$H$2:$H$50000,0)),ROW(RawData!$D$2:$D$50000)-ROW(RawData!$D$2)+1),RawData!$J$2:$J$50000)),"")</f>
        <v/>
      </c>
    </row>
    <row r="494" spans="5:8" x14ac:dyDescent="0.2">
      <c r="E494" s="28"/>
      <c r="F494" s="25" t="str">
        <f>IF(E494="","",SUMIFS(RawData!$M$2:$M$50000,RawData!$B$2:$B$50000,"="&amp;Home!$A$5,RawData!$D$2:$D$50000,"="&amp;Home!$E494))</f>
        <v/>
      </c>
      <c r="G494" s="26" t="str">
        <f>IF(E494="","",SUMIFS(RawData!$N$2:$N$50000,RawData!$B$2:$B$50000,"="&amp;Home!$A$5,RawData!$D$2:$D$50000,"="&amp;Home!$E494))</f>
        <v/>
      </c>
      <c r="H494" s="27" t="str">
        <f t="array" ref="H494">IFERROR(SUM(IF(FREQUENCY(IF(RawData!$D$2:$D$50000=Home!E494,MATCH(RawData!$H$2:$H$50000,RawData!$H$2:$H$50000,0)),ROW(RawData!$D$2:$D$50000)-ROW(RawData!$D$2)+1),RawData!$J$2:$J$50000)),"")</f>
        <v/>
      </c>
    </row>
    <row r="495" spans="5:8" x14ac:dyDescent="0.2">
      <c r="E495" s="28"/>
      <c r="F495" s="25" t="str">
        <f>IF(E495="","",SUMIFS(RawData!$M$2:$M$50000,RawData!$B$2:$B$50000,"="&amp;Home!$A$5,RawData!$D$2:$D$50000,"="&amp;Home!$E495))</f>
        <v/>
      </c>
      <c r="G495" s="26" t="str">
        <f>IF(E495="","",SUMIFS(RawData!$N$2:$N$50000,RawData!$B$2:$B$50000,"="&amp;Home!$A$5,RawData!$D$2:$D$50000,"="&amp;Home!$E495))</f>
        <v/>
      </c>
      <c r="H495" s="27" t="str">
        <f t="array" ref="H495">IFERROR(SUM(IF(FREQUENCY(IF(RawData!$D$2:$D$50000=Home!E495,MATCH(RawData!$H$2:$H$50000,RawData!$H$2:$H$50000,0)),ROW(RawData!$D$2:$D$50000)-ROW(RawData!$D$2)+1),RawData!$J$2:$J$50000)),"")</f>
        <v/>
      </c>
    </row>
    <row r="496" spans="5:8" x14ac:dyDescent="0.2">
      <c r="E496" s="28"/>
      <c r="F496" s="25" t="str">
        <f>IF(E496="","",SUMIFS(RawData!$M$2:$M$50000,RawData!$B$2:$B$50000,"="&amp;Home!$A$5,RawData!$D$2:$D$50000,"="&amp;Home!$E496))</f>
        <v/>
      </c>
      <c r="G496" s="26" t="str">
        <f>IF(E496="","",SUMIFS(RawData!$N$2:$N$50000,RawData!$B$2:$B$50000,"="&amp;Home!$A$5,RawData!$D$2:$D$50000,"="&amp;Home!$E496))</f>
        <v/>
      </c>
      <c r="H496" s="27" t="str">
        <f t="array" ref="H496">IFERROR(SUM(IF(FREQUENCY(IF(RawData!$D$2:$D$50000=Home!E496,MATCH(RawData!$H$2:$H$50000,RawData!$H$2:$H$50000,0)),ROW(RawData!$D$2:$D$50000)-ROW(RawData!$D$2)+1),RawData!$J$2:$J$50000)),"")</f>
        <v/>
      </c>
    </row>
    <row r="497" spans="5:8" x14ac:dyDescent="0.2">
      <c r="E497" s="28"/>
      <c r="F497" s="25" t="str">
        <f>IF(E497="","",SUMIFS(RawData!$M$2:$M$50000,RawData!$B$2:$B$50000,"="&amp;Home!$A$5,RawData!$D$2:$D$50000,"="&amp;Home!$E497))</f>
        <v/>
      </c>
      <c r="G497" s="26" t="str">
        <f>IF(E497="","",SUMIFS(RawData!$N$2:$N$50000,RawData!$B$2:$B$50000,"="&amp;Home!$A$5,RawData!$D$2:$D$50000,"="&amp;Home!$E497))</f>
        <v/>
      </c>
      <c r="H497" s="27" t="str">
        <f t="array" ref="H497">IFERROR(SUM(IF(FREQUENCY(IF(RawData!$D$2:$D$50000=Home!E497,MATCH(RawData!$H$2:$H$50000,RawData!$H$2:$H$50000,0)),ROW(RawData!$D$2:$D$50000)-ROW(RawData!$D$2)+1),RawData!$J$2:$J$50000)),"")</f>
        <v/>
      </c>
    </row>
    <row r="498" spans="5:8" x14ac:dyDescent="0.2">
      <c r="E498" s="28"/>
      <c r="F498" s="25" t="str">
        <f>IF(E498="","",SUMIFS(RawData!$M$2:$M$50000,RawData!$B$2:$B$50000,"="&amp;Home!$A$5,RawData!$D$2:$D$50000,"="&amp;Home!$E498))</f>
        <v/>
      </c>
      <c r="G498" s="26" t="str">
        <f>IF(E498="","",SUMIFS(RawData!$N$2:$N$50000,RawData!$B$2:$B$50000,"="&amp;Home!$A$5,RawData!$D$2:$D$50000,"="&amp;Home!$E498))</f>
        <v/>
      </c>
      <c r="H498" s="27" t="str">
        <f t="array" ref="H498">IFERROR(SUM(IF(FREQUENCY(IF(RawData!$D$2:$D$50000=Home!E498,MATCH(RawData!$H$2:$H$50000,RawData!$H$2:$H$50000,0)),ROW(RawData!$D$2:$D$50000)-ROW(RawData!$D$2)+1),RawData!$J$2:$J$50000)),"")</f>
        <v/>
      </c>
    </row>
    <row r="499" spans="5:8" x14ac:dyDescent="0.2">
      <c r="E499" s="28"/>
      <c r="F499" s="25" t="str">
        <f>IF(E499="","",SUMIFS(RawData!$M$2:$M$50000,RawData!$B$2:$B$50000,"="&amp;Home!$A$5,RawData!$D$2:$D$50000,"="&amp;Home!$E499))</f>
        <v/>
      </c>
      <c r="G499" s="26" t="str">
        <f>IF(E499="","",SUMIFS(RawData!$N$2:$N$50000,RawData!$B$2:$B$50000,"="&amp;Home!$A$5,RawData!$D$2:$D$50000,"="&amp;Home!$E499))</f>
        <v/>
      </c>
      <c r="H499" s="27" t="str">
        <f t="array" ref="H499">IFERROR(SUM(IF(FREQUENCY(IF(RawData!$D$2:$D$50000=Home!E499,MATCH(RawData!$H$2:$H$50000,RawData!$H$2:$H$50000,0)),ROW(RawData!$D$2:$D$50000)-ROW(RawData!$D$2)+1),RawData!$J$2:$J$50000)),"")</f>
        <v/>
      </c>
    </row>
    <row r="500" spans="5:8" x14ac:dyDescent="0.2">
      <c r="E500" s="28"/>
      <c r="F500" s="25" t="str">
        <f>IF(E500="","",SUMIFS(RawData!$M$2:$M$50000,RawData!$B$2:$B$50000,"="&amp;Home!$A$5,RawData!$D$2:$D$50000,"="&amp;Home!$E500))</f>
        <v/>
      </c>
      <c r="G500" s="26" t="str">
        <f>IF(E500="","",SUMIFS(RawData!$N$2:$N$50000,RawData!$B$2:$B$50000,"="&amp;Home!$A$5,RawData!$D$2:$D$50000,"="&amp;Home!$E500))</f>
        <v/>
      </c>
      <c r="H500" s="27" t="str">
        <f t="array" ref="H500">IFERROR(SUM(IF(FREQUENCY(IF(RawData!$D$2:$D$50000=Home!E500,MATCH(RawData!$H$2:$H$50000,RawData!$H$2:$H$50000,0)),ROW(RawData!$D$2:$D$50000)-ROW(RawData!$D$2)+1),RawData!$J$2:$J$50000)),"")</f>
        <v/>
      </c>
    </row>
    <row r="501" spans="5:8" x14ac:dyDescent="0.2">
      <c r="E501" s="29"/>
      <c r="F501" s="30" t="str">
        <f>IF(E501="","",SUMIFS(RawData!$M$2:$M$50000,RawData!$B$2:$B$50000,"="&amp;Home!$A$5,RawData!$D$2:$D$50000,"="&amp;Home!$E501))</f>
        <v/>
      </c>
      <c r="G501" s="31" t="str">
        <f>IF(E501="","",SUMIFS(RawData!$N$2:$N$50000,RawData!$B$2:$B$50000,"="&amp;Home!$A$5,RawData!$D$2:$D$50000,"="&amp;Home!$E501))</f>
        <v/>
      </c>
      <c r="H501" s="32" t="str">
        <f t="array" ref="H501">IFERROR(SUM(IF(FREQUENCY(IF(RawData!$D$2:$D$50000=Home!E501,MATCH(RawData!$H$2:$H$50000,RawData!$H$2:$H$50000,0)),ROW(RawData!$D$2:$D$50000)-ROW(RawData!$D$2)+1),RawData!$J$2:$J$50000)),"")</f>
        <v/>
      </c>
    </row>
    <row r="502" spans="5:8" x14ac:dyDescent="0.2">
      <c r="G502" s="13"/>
    </row>
    <row r="503" spans="5:8" x14ac:dyDescent="0.2">
      <c r="G503" s="13"/>
    </row>
  </sheetData>
  <sortState xmlns:xlrd2="http://schemas.microsoft.com/office/spreadsheetml/2017/richdata2" ref="E7:E92">
    <sortCondition ref="E7:E87"/>
  </sortState>
  <mergeCells count="39">
    <mergeCell ref="E4:H5"/>
    <mergeCell ref="J4:L5"/>
    <mergeCell ref="A4:C4"/>
    <mergeCell ref="A5:C5"/>
    <mergeCell ref="E1:P2"/>
    <mergeCell ref="A9:C9"/>
    <mergeCell ref="K6:L6"/>
    <mergeCell ref="J7:L7"/>
    <mergeCell ref="J9:K9"/>
    <mergeCell ref="J10:K10"/>
    <mergeCell ref="A6:C6"/>
    <mergeCell ref="A8:C8"/>
    <mergeCell ref="A7:C7"/>
    <mergeCell ref="U9:W9"/>
    <mergeCell ref="J11:K11"/>
    <mergeCell ref="J12:K12"/>
    <mergeCell ref="J13:K13"/>
    <mergeCell ref="J14:K14"/>
    <mergeCell ref="U4:Y4"/>
    <mergeCell ref="U5:Y5"/>
    <mergeCell ref="U6:W6"/>
    <mergeCell ref="U7:W7"/>
    <mergeCell ref="U8:W8"/>
    <mergeCell ref="U10:W10"/>
    <mergeCell ref="U11:W11"/>
    <mergeCell ref="U12:Y12"/>
    <mergeCell ref="U13:W13"/>
    <mergeCell ref="U14:W14"/>
    <mergeCell ref="A13:D14"/>
    <mergeCell ref="A22:D22"/>
    <mergeCell ref="U16:W16"/>
    <mergeCell ref="U17:W17"/>
    <mergeCell ref="U18:W18"/>
    <mergeCell ref="U19:W19"/>
    <mergeCell ref="U20:W20"/>
    <mergeCell ref="U21:W21"/>
    <mergeCell ref="U15:W15"/>
    <mergeCell ref="J15:K15"/>
    <mergeCell ref="J16:K16"/>
  </mergeCells>
  <conditionalFormatting sqref="F7:F501">
    <cfRule type="expression" dxfId="15" priority="8" stopIfTrue="1">
      <formula>$K$6="Duration"</formula>
    </cfRule>
  </conditionalFormatting>
  <conditionalFormatting sqref="J11:L11">
    <cfRule type="expression" dxfId="14" priority="7" stopIfTrue="1">
      <formula>$K$6="Duration"</formula>
    </cfRule>
  </conditionalFormatting>
  <conditionalFormatting sqref="J13:L14">
    <cfRule type="expression" dxfId="13" priority="6" stopIfTrue="1">
      <formula>$K$6="Duration"</formula>
    </cfRule>
  </conditionalFormatting>
  <conditionalFormatting sqref="G7:G501">
    <cfRule type="expression" dxfId="12" priority="5" stopIfTrue="1">
      <formula>$K$6="Frequency"</formula>
    </cfRule>
  </conditionalFormatting>
  <conditionalFormatting sqref="J12:L12">
    <cfRule type="expression" dxfId="11" priority="4" stopIfTrue="1">
      <formula>$K$6="Frequency"</formula>
    </cfRule>
  </conditionalFormatting>
  <conditionalFormatting sqref="J15:L16">
    <cfRule type="expression" dxfId="10" priority="3" stopIfTrue="1">
      <formula>$K$6="Frequency"</formula>
    </cfRule>
  </conditionalFormatting>
  <conditionalFormatting sqref="U6:Y11">
    <cfRule type="expression" dxfId="9" priority="2" stopIfTrue="1">
      <formula>$Y6=MAX($Y$6:$Y$11)</formula>
    </cfRule>
  </conditionalFormatting>
  <conditionalFormatting sqref="U13:Y21">
    <cfRule type="expression" dxfId="8" priority="1" stopIfTrue="1">
      <formula>$Y13=MAX($Y$13:$Y$21)</formula>
    </cfRule>
  </conditionalFormatting>
  <dataValidations count="1">
    <dataValidation type="list" allowBlank="1" showInputMessage="1" showErrorMessage="1" errorTitle="Error" error="Please select a date from the drop-down menu." sqref="A7:C7 A9:C9" xr:uid="{00000000-0002-0000-0000-000000000000}">
      <formula1>Dates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Trendline_On">
              <controlPr defaultSize="0" print="0" autoFill="0" autoPict="0" macro="[1]!Trendline_On">
                <anchor moveWithCells="1" sizeWithCells="1">
                  <from>
                    <xdr:col>8</xdr:col>
                    <xdr:colOff>241300</xdr:colOff>
                    <xdr:row>17</xdr:row>
                    <xdr:rowOff>63500</xdr:rowOff>
                  </from>
                  <to>
                    <xdr:col>10</xdr:col>
                    <xdr:colOff>685800</xdr:colOff>
                    <xdr:row>19</xdr:row>
                    <xdr:rowOff>38100</xdr:rowOff>
                  </to>
                </anchor>
              </controlPr>
            </control>
          </mc:Choice>
        </mc:AlternateContent>
        <mc:AlternateContent xmlns:mc="http://schemas.openxmlformats.org/markup-compatibility/2006">
          <mc:Choice Requires="x14">
            <control shapeId="2051" r:id="rId4" name="Trendline_Off">
              <controlPr defaultSize="0" print="0" autoFill="0" autoPict="0" macro="[1]!Trendline_Off">
                <anchor moveWithCells="1" sizeWithCells="1">
                  <from>
                    <xdr:col>8</xdr:col>
                    <xdr:colOff>228600</xdr:colOff>
                    <xdr:row>20</xdr:row>
                    <xdr:rowOff>50800</xdr:rowOff>
                  </from>
                  <to>
                    <xdr:col>10</xdr:col>
                    <xdr:colOff>673100</xdr:colOff>
                    <xdr:row>22</xdr:row>
                    <xdr:rowOff>50800</xdr:rowOff>
                  </to>
                </anchor>
              </controlPr>
            </control>
          </mc:Choice>
        </mc:AlternateContent>
        <mc:AlternateContent xmlns:mc="http://schemas.openxmlformats.org/markup-compatibility/2006">
          <mc:Choice Requires="x14">
            <control shapeId="2052" r:id="rId5" name="Pull_BX_1">
              <controlPr defaultSize="0" print="0" autoFill="0" autoPict="0" macro="[1]!Pull_BX_1">
                <anchor moveWithCells="1" sizeWithCells="1">
                  <from>
                    <xdr:col>0</xdr:col>
                    <xdr:colOff>292100</xdr:colOff>
                    <xdr:row>22</xdr:row>
                    <xdr:rowOff>127000</xdr:rowOff>
                  </from>
                  <to>
                    <xdr:col>2</xdr:col>
                    <xdr:colOff>520700</xdr:colOff>
                    <xdr:row>24</xdr:row>
                    <xdr:rowOff>114300</xdr:rowOff>
                  </to>
                </anchor>
              </controlPr>
            </control>
          </mc:Choice>
        </mc:AlternateContent>
        <mc:AlternateContent xmlns:mc="http://schemas.openxmlformats.org/markup-compatibility/2006">
          <mc:Choice Requires="x14">
            <control shapeId="2053" r:id="rId6" name="Pull_BX_2">
              <controlPr defaultSize="0" print="0" autoFill="0" autoPict="0" macro="[1]!Pull_BX_2">
                <anchor moveWithCells="1" sizeWithCells="1">
                  <from>
                    <xdr:col>0</xdr:col>
                    <xdr:colOff>317500</xdr:colOff>
                    <xdr:row>25</xdr:row>
                    <xdr:rowOff>88900</xdr:rowOff>
                  </from>
                  <to>
                    <xdr:col>2</xdr:col>
                    <xdr:colOff>546100</xdr:colOff>
                    <xdr:row>27</xdr:row>
                    <xdr:rowOff>63500</xdr:rowOff>
                  </to>
                </anchor>
              </controlPr>
            </control>
          </mc:Choice>
        </mc:AlternateContent>
        <mc:AlternateContent xmlns:mc="http://schemas.openxmlformats.org/markup-compatibility/2006">
          <mc:Choice Requires="x14">
            <control shapeId="2054" r:id="rId7" name="Pull_BX_3">
              <controlPr defaultSize="0" print="0" autoFill="0" autoPict="0" macro="[1]!Pull_BX_3">
                <anchor moveWithCells="1" sizeWithCells="1">
                  <from>
                    <xdr:col>0</xdr:col>
                    <xdr:colOff>317500</xdr:colOff>
                    <xdr:row>28</xdr:row>
                    <xdr:rowOff>12700</xdr:rowOff>
                  </from>
                  <to>
                    <xdr:col>2</xdr:col>
                    <xdr:colOff>546100</xdr:colOff>
                    <xdr:row>30</xdr:row>
                    <xdr:rowOff>12700</xdr:rowOff>
                  </to>
                </anchor>
              </controlPr>
            </control>
          </mc:Choice>
        </mc:AlternateContent>
        <mc:AlternateContent xmlns:mc="http://schemas.openxmlformats.org/markup-compatibility/2006">
          <mc:Choice Requires="x14">
            <control shapeId="2055" r:id="rId8" name="CombinedBXChart">
              <controlPr defaultSize="0" print="0" autoFill="0" autoPict="0" macro="[1]!Combined_BX_Chart">
                <anchor moveWithCells="1" sizeWithCells="1">
                  <from>
                    <xdr:col>0</xdr:col>
                    <xdr:colOff>330200</xdr:colOff>
                    <xdr:row>31</xdr:row>
                    <xdr:rowOff>25400</xdr:rowOff>
                  </from>
                  <to>
                    <xdr:col>2</xdr:col>
                    <xdr:colOff>546100</xdr:colOff>
                    <xdr:row>33</xdr:row>
                    <xdr:rowOff>0</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Error" error="Please select a behavior from the dropdown menu." xr:uid="{00000000-0002-0000-0000-000002000000}">
          <x14:formula1>
            <xm:f>RawData!$S$2:$S$26</xm:f>
          </x14:formula1>
          <xm:sqref>A5:D5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88"/>
  <sheetViews>
    <sheetView zoomScale="120" zoomScaleNormal="120" workbookViewId="0">
      <selection activeCell="B2" sqref="B2:D2"/>
    </sheetView>
  </sheetViews>
  <sheetFormatPr baseColWidth="10" defaultRowHeight="16" x14ac:dyDescent="0.2"/>
  <cols>
    <col min="1" max="16384" width="10.83203125" style="44"/>
  </cols>
  <sheetData>
    <row r="1" spans="1:4" ht="17" thickBot="1" x14ac:dyDescent="0.25"/>
    <row r="2" spans="1:4" ht="21" thickTop="1" thickBot="1" x14ac:dyDescent="0.3">
      <c r="A2" s="45"/>
      <c r="B2" s="108" t="s">
        <v>180</v>
      </c>
      <c r="C2" s="109"/>
      <c r="D2" s="110"/>
    </row>
    <row r="3" spans="1:4" ht="18" thickTop="1" thickBot="1" x14ac:dyDescent="0.25">
      <c r="A3" s="46" t="s">
        <v>179</v>
      </c>
      <c r="B3" s="56"/>
      <c r="C3" s="56"/>
      <c r="D3" s="56"/>
    </row>
    <row r="4" spans="1:4" ht="17" thickTop="1" x14ac:dyDescent="0.2">
      <c r="A4" s="47">
        <v>44207</v>
      </c>
      <c r="B4" s="48"/>
      <c r="C4" s="48"/>
      <c r="D4" s="49"/>
    </row>
    <row r="5" spans="1:4" x14ac:dyDescent="0.2">
      <c r="A5" s="50">
        <v>44236</v>
      </c>
      <c r="B5" s="51"/>
      <c r="C5" s="51"/>
      <c r="D5" s="52"/>
    </row>
    <row r="6" spans="1:4" x14ac:dyDescent="0.2">
      <c r="A6" s="50">
        <v>44237</v>
      </c>
      <c r="B6" s="51"/>
      <c r="C6" s="51"/>
      <c r="D6" s="52"/>
    </row>
    <row r="7" spans="1:4" x14ac:dyDescent="0.2">
      <c r="A7" s="50">
        <v>44238</v>
      </c>
      <c r="B7" s="51"/>
      <c r="C7" s="51"/>
      <c r="D7" s="52"/>
    </row>
    <row r="8" spans="1:4" x14ac:dyDescent="0.2">
      <c r="A8" s="50">
        <v>44239</v>
      </c>
      <c r="B8" s="51"/>
      <c r="C8" s="51"/>
      <c r="D8" s="52"/>
    </row>
    <row r="9" spans="1:4" x14ac:dyDescent="0.2">
      <c r="A9" s="50">
        <v>44242</v>
      </c>
      <c r="B9" s="51"/>
      <c r="C9" s="51"/>
      <c r="D9" s="52"/>
    </row>
    <row r="10" spans="1:4" x14ac:dyDescent="0.2">
      <c r="A10" s="50">
        <v>44243</v>
      </c>
      <c r="B10" s="51"/>
      <c r="C10" s="51"/>
      <c r="D10" s="52"/>
    </row>
    <row r="11" spans="1:4" x14ac:dyDescent="0.2">
      <c r="A11" s="50">
        <v>44244</v>
      </c>
      <c r="B11" s="51"/>
      <c r="C11" s="51"/>
      <c r="D11" s="52"/>
    </row>
    <row r="12" spans="1:4" x14ac:dyDescent="0.2">
      <c r="A12" s="50">
        <v>44245</v>
      </c>
      <c r="B12" s="51"/>
      <c r="C12" s="51"/>
      <c r="D12" s="52"/>
    </row>
    <row r="13" spans="1:4" x14ac:dyDescent="0.2">
      <c r="A13" s="50">
        <v>44246</v>
      </c>
      <c r="B13" s="51"/>
      <c r="C13" s="51"/>
      <c r="D13" s="52"/>
    </row>
    <row r="14" spans="1:4" x14ac:dyDescent="0.2">
      <c r="A14" s="50">
        <v>44249</v>
      </c>
      <c r="B14" s="51"/>
      <c r="C14" s="51"/>
      <c r="D14" s="52"/>
    </row>
    <row r="15" spans="1:4" x14ac:dyDescent="0.2">
      <c r="A15" s="50">
        <v>44250</v>
      </c>
      <c r="B15" s="51"/>
      <c r="C15" s="51"/>
      <c r="D15" s="52"/>
    </row>
    <row r="16" spans="1:4" x14ac:dyDescent="0.2">
      <c r="A16" s="50">
        <v>44251</v>
      </c>
      <c r="B16" s="51"/>
      <c r="C16" s="51"/>
      <c r="D16" s="52"/>
    </row>
    <row r="17" spans="1:4" x14ac:dyDescent="0.2">
      <c r="A17" s="50">
        <v>44252</v>
      </c>
      <c r="B17" s="51"/>
      <c r="C17" s="51"/>
      <c r="D17" s="52"/>
    </row>
    <row r="18" spans="1:4" x14ac:dyDescent="0.2">
      <c r="A18" s="50">
        <v>44253</v>
      </c>
      <c r="B18" s="51"/>
      <c r="C18" s="51"/>
      <c r="D18" s="52"/>
    </row>
    <row r="19" spans="1:4" x14ac:dyDescent="0.2">
      <c r="A19" s="50">
        <v>44256</v>
      </c>
      <c r="B19" s="51"/>
      <c r="C19" s="51"/>
      <c r="D19" s="52"/>
    </row>
    <row r="20" spans="1:4" x14ac:dyDescent="0.2">
      <c r="A20" s="50">
        <v>44257</v>
      </c>
      <c r="B20" s="51"/>
      <c r="C20" s="51"/>
      <c r="D20" s="52"/>
    </row>
    <row r="21" spans="1:4" x14ac:dyDescent="0.2">
      <c r="A21" s="50">
        <v>44258</v>
      </c>
      <c r="B21" s="51"/>
      <c r="C21" s="51"/>
      <c r="D21" s="52"/>
    </row>
    <row r="22" spans="1:4" x14ac:dyDescent="0.2">
      <c r="A22" s="50">
        <v>44259</v>
      </c>
      <c r="B22" s="51"/>
      <c r="C22" s="51"/>
      <c r="D22" s="52"/>
    </row>
    <row r="23" spans="1:4" x14ac:dyDescent="0.2">
      <c r="A23" s="50">
        <v>44260</v>
      </c>
      <c r="B23" s="51"/>
      <c r="C23" s="51"/>
      <c r="D23" s="52"/>
    </row>
    <row r="24" spans="1:4" x14ac:dyDescent="0.2">
      <c r="A24" s="50">
        <v>44263</v>
      </c>
      <c r="B24" s="51"/>
      <c r="C24" s="51"/>
      <c r="D24" s="52"/>
    </row>
    <row r="25" spans="1:4" x14ac:dyDescent="0.2">
      <c r="A25" s="50">
        <v>44264</v>
      </c>
      <c r="B25" s="51"/>
      <c r="C25" s="51"/>
      <c r="D25" s="52"/>
    </row>
    <row r="26" spans="1:4" x14ac:dyDescent="0.2">
      <c r="A26" s="50">
        <v>44265</v>
      </c>
      <c r="B26" s="51"/>
      <c r="C26" s="51"/>
      <c r="D26" s="52"/>
    </row>
    <row r="27" spans="1:4" x14ac:dyDescent="0.2">
      <c r="A27" s="50">
        <v>44266</v>
      </c>
      <c r="B27" s="51"/>
      <c r="C27" s="51"/>
      <c r="D27" s="52"/>
    </row>
    <row r="28" spans="1:4" x14ac:dyDescent="0.2">
      <c r="A28" s="50">
        <v>44270</v>
      </c>
      <c r="B28" s="51"/>
      <c r="C28" s="51"/>
      <c r="D28" s="52"/>
    </row>
    <row r="29" spans="1:4" x14ac:dyDescent="0.2">
      <c r="A29" s="50">
        <v>44271</v>
      </c>
      <c r="B29" s="51"/>
      <c r="C29" s="51"/>
      <c r="D29" s="52"/>
    </row>
    <row r="30" spans="1:4" x14ac:dyDescent="0.2">
      <c r="A30" s="50">
        <v>44272</v>
      </c>
      <c r="B30" s="51"/>
      <c r="C30" s="51"/>
      <c r="D30" s="52"/>
    </row>
    <row r="31" spans="1:4" x14ac:dyDescent="0.2">
      <c r="A31" s="50">
        <v>44273</v>
      </c>
      <c r="B31" s="51"/>
      <c r="C31" s="51"/>
      <c r="D31" s="52"/>
    </row>
    <row r="32" spans="1:4" x14ac:dyDescent="0.2">
      <c r="A32" s="50">
        <v>44279</v>
      </c>
      <c r="B32" s="51"/>
      <c r="C32" s="51"/>
      <c r="D32" s="52"/>
    </row>
    <row r="33" spans="1:4" x14ac:dyDescent="0.2">
      <c r="A33" s="50">
        <v>44281</v>
      </c>
      <c r="B33" s="51"/>
      <c r="C33" s="51"/>
      <c r="D33" s="52"/>
    </row>
    <row r="34" spans="1:4" x14ac:dyDescent="0.2">
      <c r="A34" s="50">
        <v>44284</v>
      </c>
      <c r="B34" s="51"/>
      <c r="C34" s="51"/>
      <c r="D34" s="52"/>
    </row>
    <row r="35" spans="1:4" x14ac:dyDescent="0.2">
      <c r="A35" s="50">
        <v>44285</v>
      </c>
      <c r="B35" s="51"/>
      <c r="C35" s="51"/>
      <c r="D35" s="52"/>
    </row>
    <row r="36" spans="1:4" x14ac:dyDescent="0.2">
      <c r="A36" s="50">
        <v>44286</v>
      </c>
      <c r="B36" s="51"/>
      <c r="C36" s="51"/>
      <c r="D36" s="52"/>
    </row>
    <row r="37" spans="1:4" x14ac:dyDescent="0.2">
      <c r="A37" s="50">
        <v>44287</v>
      </c>
      <c r="B37" s="51"/>
      <c r="C37" s="51"/>
      <c r="D37" s="52"/>
    </row>
    <row r="38" spans="1:4" x14ac:dyDescent="0.2">
      <c r="A38" s="50">
        <v>44288</v>
      </c>
      <c r="B38" s="51"/>
      <c r="C38" s="51"/>
      <c r="D38" s="52"/>
    </row>
    <row r="39" spans="1:4" x14ac:dyDescent="0.2">
      <c r="A39" s="50">
        <v>44291</v>
      </c>
      <c r="B39" s="51"/>
      <c r="C39" s="51"/>
      <c r="D39" s="52"/>
    </row>
    <row r="40" spans="1:4" x14ac:dyDescent="0.2">
      <c r="A40" s="50">
        <v>44292</v>
      </c>
      <c r="B40" s="51"/>
      <c r="C40" s="51"/>
      <c r="D40" s="52"/>
    </row>
    <row r="41" spans="1:4" x14ac:dyDescent="0.2">
      <c r="A41" s="50">
        <v>44293</v>
      </c>
      <c r="B41" s="51"/>
      <c r="C41" s="51"/>
      <c r="D41" s="52"/>
    </row>
    <row r="42" spans="1:4" x14ac:dyDescent="0.2">
      <c r="A42" s="50">
        <v>44294</v>
      </c>
      <c r="B42" s="51"/>
      <c r="C42" s="51"/>
      <c r="D42" s="52"/>
    </row>
    <row r="43" spans="1:4" x14ac:dyDescent="0.2">
      <c r="A43" s="50">
        <v>44295</v>
      </c>
      <c r="B43" s="51"/>
      <c r="C43" s="51"/>
      <c r="D43" s="52"/>
    </row>
    <row r="44" spans="1:4" x14ac:dyDescent="0.2">
      <c r="A44" s="50">
        <v>44298</v>
      </c>
      <c r="B44" s="51"/>
      <c r="C44" s="51"/>
      <c r="D44" s="52"/>
    </row>
    <row r="45" spans="1:4" x14ac:dyDescent="0.2">
      <c r="A45" s="50">
        <v>44299</v>
      </c>
      <c r="B45" s="51"/>
      <c r="C45" s="51"/>
      <c r="D45" s="52"/>
    </row>
    <row r="46" spans="1:4" x14ac:dyDescent="0.2">
      <c r="A46" s="50">
        <v>44300</v>
      </c>
      <c r="B46" s="51"/>
      <c r="C46" s="51"/>
      <c r="D46" s="52"/>
    </row>
    <row r="47" spans="1:4" x14ac:dyDescent="0.2">
      <c r="A47" s="50">
        <v>44301</v>
      </c>
      <c r="B47" s="51"/>
      <c r="C47" s="51"/>
      <c r="D47" s="52"/>
    </row>
    <row r="48" spans="1:4" x14ac:dyDescent="0.2">
      <c r="A48" s="50">
        <v>44302</v>
      </c>
      <c r="B48" s="51"/>
      <c r="C48" s="51"/>
      <c r="D48" s="52"/>
    </row>
    <row r="49" spans="1:4" x14ac:dyDescent="0.2">
      <c r="A49" s="50">
        <v>44307</v>
      </c>
      <c r="B49" s="51"/>
      <c r="C49" s="51"/>
      <c r="D49" s="52"/>
    </row>
    <row r="50" spans="1:4" x14ac:dyDescent="0.2">
      <c r="A50" s="50">
        <v>44308</v>
      </c>
      <c r="B50" s="51"/>
      <c r="C50" s="51"/>
      <c r="D50" s="52"/>
    </row>
    <row r="51" spans="1:4" x14ac:dyDescent="0.2">
      <c r="A51" s="50">
        <v>44309</v>
      </c>
      <c r="B51" s="51"/>
      <c r="C51" s="51"/>
      <c r="D51" s="52"/>
    </row>
    <row r="52" spans="1:4" x14ac:dyDescent="0.2">
      <c r="A52" s="50">
        <v>44312</v>
      </c>
      <c r="B52" s="51"/>
      <c r="C52" s="51"/>
      <c r="D52" s="52"/>
    </row>
    <row r="53" spans="1:4" x14ac:dyDescent="0.2">
      <c r="A53" s="50">
        <v>44313</v>
      </c>
      <c r="B53" s="51"/>
      <c r="C53" s="51"/>
      <c r="D53" s="52"/>
    </row>
    <row r="54" spans="1:4" x14ac:dyDescent="0.2">
      <c r="A54" s="50">
        <v>44314</v>
      </c>
      <c r="B54" s="51"/>
      <c r="C54" s="51"/>
      <c r="D54" s="52"/>
    </row>
    <row r="55" spans="1:4" x14ac:dyDescent="0.2">
      <c r="A55" s="50">
        <v>44315</v>
      </c>
      <c r="B55" s="51"/>
      <c r="C55" s="51"/>
      <c r="D55" s="52"/>
    </row>
    <row r="56" spans="1:4" x14ac:dyDescent="0.2">
      <c r="A56" s="50">
        <v>44316</v>
      </c>
      <c r="B56" s="51"/>
      <c r="C56" s="51"/>
      <c r="D56" s="52"/>
    </row>
    <row r="57" spans="1:4" x14ac:dyDescent="0.2">
      <c r="A57" s="50">
        <v>44319</v>
      </c>
      <c r="B57" s="51"/>
      <c r="C57" s="51"/>
      <c r="D57" s="52"/>
    </row>
    <row r="58" spans="1:4" x14ac:dyDescent="0.2">
      <c r="A58" s="50">
        <v>44320</v>
      </c>
      <c r="B58" s="51"/>
      <c r="C58" s="51"/>
      <c r="D58" s="52"/>
    </row>
    <row r="59" spans="1:4" x14ac:dyDescent="0.2">
      <c r="A59" s="50">
        <v>44321</v>
      </c>
      <c r="B59" s="51"/>
      <c r="C59" s="51"/>
      <c r="D59" s="52"/>
    </row>
    <row r="60" spans="1:4" x14ac:dyDescent="0.2">
      <c r="A60" s="50">
        <v>44323</v>
      </c>
      <c r="B60" s="51"/>
      <c r="C60" s="51"/>
      <c r="D60" s="52"/>
    </row>
    <row r="61" spans="1:4" x14ac:dyDescent="0.2">
      <c r="A61" s="50">
        <v>44326</v>
      </c>
      <c r="B61" s="51"/>
      <c r="C61" s="51"/>
      <c r="D61" s="52"/>
    </row>
    <row r="62" spans="1:4" x14ac:dyDescent="0.2">
      <c r="A62" s="50">
        <v>44327</v>
      </c>
      <c r="B62" s="51"/>
      <c r="C62" s="51"/>
      <c r="D62" s="52"/>
    </row>
    <row r="63" spans="1:4" x14ac:dyDescent="0.2">
      <c r="A63" s="50">
        <v>44328</v>
      </c>
      <c r="B63" s="51"/>
      <c r="C63" s="51"/>
      <c r="D63" s="52"/>
    </row>
    <row r="64" spans="1:4" x14ac:dyDescent="0.2">
      <c r="A64" s="50">
        <v>44334</v>
      </c>
      <c r="B64" s="51"/>
      <c r="C64" s="51"/>
      <c r="D64" s="52"/>
    </row>
    <row r="65" spans="1:4" x14ac:dyDescent="0.2">
      <c r="A65" s="50">
        <v>44335</v>
      </c>
      <c r="B65" s="51"/>
      <c r="C65" s="51"/>
      <c r="D65" s="52"/>
    </row>
    <row r="66" spans="1:4" x14ac:dyDescent="0.2">
      <c r="A66" s="50">
        <v>44336</v>
      </c>
      <c r="B66" s="51"/>
      <c r="C66" s="51"/>
      <c r="D66" s="52"/>
    </row>
    <row r="67" spans="1:4" x14ac:dyDescent="0.2">
      <c r="A67" s="50">
        <v>44337</v>
      </c>
      <c r="B67" s="51"/>
      <c r="C67" s="51"/>
      <c r="D67" s="52"/>
    </row>
    <row r="68" spans="1:4" x14ac:dyDescent="0.2">
      <c r="A68" s="50">
        <v>44338</v>
      </c>
      <c r="B68" s="51"/>
      <c r="C68" s="51"/>
      <c r="D68" s="52"/>
    </row>
    <row r="69" spans="1:4" x14ac:dyDescent="0.2">
      <c r="A69" s="50">
        <v>44340</v>
      </c>
      <c r="B69" s="51"/>
      <c r="C69" s="51"/>
      <c r="D69" s="52"/>
    </row>
    <row r="70" spans="1:4" x14ac:dyDescent="0.2">
      <c r="A70" s="50">
        <v>44341</v>
      </c>
      <c r="B70" s="51"/>
      <c r="C70" s="51"/>
      <c r="D70" s="52"/>
    </row>
    <row r="71" spans="1:4" x14ac:dyDescent="0.2">
      <c r="A71" s="50">
        <v>44342</v>
      </c>
      <c r="B71" s="51"/>
      <c r="C71" s="51"/>
      <c r="D71" s="52"/>
    </row>
    <row r="72" spans="1:4" x14ac:dyDescent="0.2">
      <c r="A72" s="50">
        <v>44343</v>
      </c>
      <c r="B72" s="51"/>
      <c r="C72" s="51"/>
      <c r="D72" s="52"/>
    </row>
    <row r="73" spans="1:4" x14ac:dyDescent="0.2">
      <c r="A73" s="50">
        <v>44344</v>
      </c>
      <c r="B73" s="51"/>
      <c r="C73" s="51"/>
      <c r="D73" s="52"/>
    </row>
    <row r="74" spans="1:4" x14ac:dyDescent="0.2">
      <c r="A74" s="50">
        <v>44348</v>
      </c>
      <c r="B74" s="51"/>
      <c r="C74" s="51"/>
      <c r="D74" s="52"/>
    </row>
    <row r="75" spans="1:4" x14ac:dyDescent="0.2">
      <c r="A75" s="50">
        <v>44349</v>
      </c>
      <c r="B75" s="51"/>
      <c r="C75" s="51"/>
      <c r="D75" s="52"/>
    </row>
    <row r="76" spans="1:4" x14ac:dyDescent="0.2">
      <c r="A76" s="50">
        <v>44350</v>
      </c>
      <c r="B76" s="51"/>
      <c r="C76" s="51"/>
      <c r="D76" s="52"/>
    </row>
    <row r="77" spans="1:4" x14ac:dyDescent="0.2">
      <c r="A77" s="50">
        <v>44351</v>
      </c>
      <c r="B77" s="51"/>
      <c r="C77" s="51"/>
      <c r="D77" s="52"/>
    </row>
    <row r="78" spans="1:4" x14ac:dyDescent="0.2">
      <c r="A78" s="50">
        <v>44354</v>
      </c>
      <c r="B78" s="51"/>
      <c r="C78" s="51"/>
      <c r="D78" s="52"/>
    </row>
    <row r="79" spans="1:4" x14ac:dyDescent="0.2">
      <c r="A79" s="50">
        <v>44355</v>
      </c>
      <c r="B79" s="51"/>
      <c r="C79" s="51"/>
      <c r="D79" s="52"/>
    </row>
    <row r="80" spans="1:4" x14ac:dyDescent="0.2">
      <c r="A80" s="50">
        <v>44356</v>
      </c>
      <c r="B80" s="51"/>
      <c r="C80" s="51"/>
      <c r="D80" s="52"/>
    </row>
    <row r="81" spans="1:4" x14ac:dyDescent="0.2">
      <c r="A81" s="50">
        <v>44357</v>
      </c>
      <c r="B81" s="51"/>
      <c r="C81" s="51"/>
      <c r="D81" s="52"/>
    </row>
    <row r="82" spans="1:4" x14ac:dyDescent="0.2">
      <c r="A82" s="50">
        <v>44358</v>
      </c>
      <c r="B82" s="51"/>
      <c r="C82" s="51"/>
      <c r="D82" s="52"/>
    </row>
    <row r="83" spans="1:4" x14ac:dyDescent="0.2">
      <c r="A83" s="50">
        <v>44361</v>
      </c>
      <c r="B83" s="51"/>
      <c r="C83" s="51"/>
      <c r="D83" s="52"/>
    </row>
    <row r="84" spans="1:4" x14ac:dyDescent="0.2">
      <c r="A84" s="50">
        <v>44363</v>
      </c>
      <c r="B84" s="51"/>
      <c r="C84" s="51"/>
      <c r="D84" s="52"/>
    </row>
    <row r="85" spans="1:4" x14ac:dyDescent="0.2">
      <c r="A85" s="50">
        <v>44364</v>
      </c>
      <c r="B85" s="51"/>
      <c r="C85" s="51"/>
      <c r="D85" s="52"/>
    </row>
    <row r="86" spans="1:4" x14ac:dyDescent="0.2">
      <c r="A86" s="50">
        <v>44365</v>
      </c>
      <c r="B86" s="51"/>
      <c r="C86" s="51"/>
      <c r="D86" s="52"/>
    </row>
    <row r="87" spans="1:4" ht="17" thickBot="1" x14ac:dyDescent="0.25">
      <c r="A87" s="53">
        <v>44375</v>
      </c>
      <c r="B87" s="54"/>
      <c r="C87" s="54"/>
      <c r="D87" s="55"/>
    </row>
    <row r="88" spans="1:4" ht="17" thickTop="1" x14ac:dyDescent="0.2"/>
  </sheetData>
  <mergeCells count="1">
    <mergeCell ref="B2:D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1740"/>
  <sheetViews>
    <sheetView topLeftCell="M1" workbookViewId="0">
      <pane ySplit="1" topLeftCell="A2" activePane="bottomLeft" state="frozenSplit"/>
      <selection pane="bottomLeft" activeCell="T2" sqref="T2"/>
    </sheetView>
  </sheetViews>
  <sheetFormatPr baseColWidth="10" defaultRowHeight="16" x14ac:dyDescent="0.2"/>
  <cols>
    <col min="1" max="1" width="12.83203125" bestFit="1" customWidth="1"/>
    <col min="2" max="2" width="25" bestFit="1" customWidth="1"/>
    <col min="3" max="3" width="18.33203125" bestFit="1" customWidth="1"/>
    <col min="4" max="4" width="11.6640625" style="3" bestFit="1" customWidth="1"/>
    <col min="5" max="5" width="15.6640625" bestFit="1" customWidth="1"/>
    <col min="6" max="6" width="9.33203125" bestFit="1" customWidth="1"/>
    <col min="7" max="7" width="24.1640625" bestFit="1" customWidth="1"/>
    <col min="8" max="8" width="16.6640625" bestFit="1" customWidth="1"/>
    <col min="9" max="9" width="15.5" bestFit="1" customWidth="1"/>
    <col min="10" max="10" width="15.5" style="4" customWidth="1"/>
    <col min="11" max="11" width="23.6640625" bestFit="1" customWidth="1"/>
    <col min="12" max="12" width="13.5" bestFit="1" customWidth="1"/>
    <col min="13" max="13" width="14" bestFit="1" customWidth="1"/>
    <col min="14" max="14" width="18.6640625" style="5" bestFit="1" customWidth="1"/>
    <col min="15" max="15" width="33.1640625" bestFit="1" customWidth="1"/>
    <col min="16" max="16" width="34.5" bestFit="1" customWidth="1"/>
    <col min="17" max="17" width="13.83203125" bestFit="1" customWidth="1"/>
  </cols>
  <sheetData>
    <row r="1" spans="1:19" x14ac:dyDescent="0.2">
      <c r="A1" t="s">
        <v>0</v>
      </c>
      <c r="B1" t="s">
        <v>1</v>
      </c>
      <c r="C1" t="s">
        <v>2</v>
      </c>
      <c r="D1" s="3" t="s">
        <v>143</v>
      </c>
      <c r="E1" t="s">
        <v>3</v>
      </c>
      <c r="F1" t="s">
        <v>4</v>
      </c>
      <c r="G1" t="s">
        <v>5</v>
      </c>
      <c r="H1" t="s">
        <v>6</v>
      </c>
      <c r="I1" t="s">
        <v>7</v>
      </c>
      <c r="J1" s="4" t="s">
        <v>145</v>
      </c>
      <c r="K1" t="s">
        <v>8</v>
      </c>
      <c r="L1" t="s">
        <v>9</v>
      </c>
      <c r="M1" t="s">
        <v>10</v>
      </c>
      <c r="N1" s="5" t="s">
        <v>11</v>
      </c>
      <c r="O1" t="s">
        <v>12</v>
      </c>
      <c r="P1" t="s">
        <v>13</v>
      </c>
      <c r="Q1" t="s">
        <v>14</v>
      </c>
      <c r="S1" t="s">
        <v>1</v>
      </c>
    </row>
    <row r="2" spans="1:19" ht="68" x14ac:dyDescent="0.2">
      <c r="A2" t="s">
        <v>189</v>
      </c>
      <c r="B2" t="s">
        <v>15</v>
      </c>
      <c r="C2" t="s">
        <v>16</v>
      </c>
      <c r="D2" s="3">
        <v>44207</v>
      </c>
      <c r="E2" s="1">
        <v>44207.465752314813</v>
      </c>
      <c r="F2" t="s">
        <v>17</v>
      </c>
      <c r="G2" t="s">
        <v>18</v>
      </c>
      <c r="H2" s="1">
        <v>44207.354166666664</v>
      </c>
      <c r="I2" s="1">
        <v>44207.479166666664</v>
      </c>
      <c r="J2" s="4">
        <f>IF($I2="","",$I2-$H2)</f>
        <v>0.125</v>
      </c>
      <c r="K2" t="s">
        <v>190</v>
      </c>
      <c r="M2">
        <v>0</v>
      </c>
      <c r="N2" s="5" t="s">
        <v>144</v>
      </c>
      <c r="Q2" s="2" t="s">
        <v>19</v>
      </c>
      <c r="S2" t="s">
        <v>15</v>
      </c>
    </row>
    <row r="3" spans="1:19" ht="68" x14ac:dyDescent="0.2">
      <c r="A3" t="s">
        <v>189</v>
      </c>
      <c r="B3" t="s">
        <v>15</v>
      </c>
      <c r="C3" t="s">
        <v>16</v>
      </c>
      <c r="D3" s="3">
        <v>44236</v>
      </c>
      <c r="E3" s="1">
        <v>44236.435208333336</v>
      </c>
      <c r="F3" t="s">
        <v>17</v>
      </c>
      <c r="G3" t="s">
        <v>20</v>
      </c>
      <c r="H3" s="1">
        <v>44236.354166666664</v>
      </c>
      <c r="I3" s="1">
        <v>44236.479166666664</v>
      </c>
      <c r="J3" s="4">
        <f t="shared" ref="J3:J66" si="0">IF($I3="","",$I3-$H3)</f>
        <v>0.125</v>
      </c>
      <c r="K3" t="s">
        <v>191</v>
      </c>
      <c r="M3">
        <v>2</v>
      </c>
      <c r="N3" s="6">
        <v>0</v>
      </c>
      <c r="Q3" s="2" t="s">
        <v>19</v>
      </c>
      <c r="S3" t="s">
        <v>87</v>
      </c>
    </row>
    <row r="4" spans="1:19" ht="68" x14ac:dyDescent="0.2">
      <c r="A4" t="s">
        <v>189</v>
      </c>
      <c r="B4" t="s">
        <v>15</v>
      </c>
      <c r="C4" t="s">
        <v>16</v>
      </c>
      <c r="D4" s="3">
        <v>44236</v>
      </c>
      <c r="E4" s="1">
        <v>44236.638368055559</v>
      </c>
      <c r="F4" t="s">
        <v>17</v>
      </c>
      <c r="G4" t="s">
        <v>21</v>
      </c>
      <c r="H4" s="1">
        <v>44236.5625</v>
      </c>
      <c r="I4" s="1">
        <v>44236.6875</v>
      </c>
      <c r="J4" s="4">
        <f t="shared" si="0"/>
        <v>0.125</v>
      </c>
      <c r="K4" t="s">
        <v>192</v>
      </c>
      <c r="M4">
        <v>3</v>
      </c>
      <c r="N4" s="6">
        <v>0</v>
      </c>
      <c r="Q4" s="2" t="s">
        <v>19</v>
      </c>
      <c r="S4" t="s">
        <v>90</v>
      </c>
    </row>
    <row r="5" spans="1:19" ht="68" x14ac:dyDescent="0.2">
      <c r="A5" t="s">
        <v>189</v>
      </c>
      <c r="B5" t="s">
        <v>15</v>
      </c>
      <c r="C5" t="s">
        <v>16</v>
      </c>
      <c r="D5" s="3">
        <v>44236</v>
      </c>
      <c r="E5" s="1">
        <v>44236.649502314816</v>
      </c>
      <c r="F5" t="s">
        <v>17</v>
      </c>
      <c r="G5" t="s">
        <v>21</v>
      </c>
      <c r="H5" s="1">
        <v>44236.5625</v>
      </c>
      <c r="I5" s="1">
        <v>44236.6875</v>
      </c>
      <c r="J5" s="4">
        <f t="shared" si="0"/>
        <v>0.125</v>
      </c>
      <c r="K5" t="s">
        <v>192</v>
      </c>
      <c r="M5">
        <v>2</v>
      </c>
      <c r="N5" s="6">
        <v>0</v>
      </c>
      <c r="Q5" s="2" t="s">
        <v>19</v>
      </c>
      <c r="S5" t="s">
        <v>114</v>
      </c>
    </row>
    <row r="6" spans="1:19" ht="68" x14ac:dyDescent="0.2">
      <c r="A6" t="s">
        <v>189</v>
      </c>
      <c r="B6" t="s">
        <v>15</v>
      </c>
      <c r="C6" t="s">
        <v>16</v>
      </c>
      <c r="D6" s="3">
        <v>44237</v>
      </c>
      <c r="E6" s="1">
        <v>44237.44290509259</v>
      </c>
      <c r="F6" t="s">
        <v>17</v>
      </c>
      <c r="G6" t="s">
        <v>20</v>
      </c>
      <c r="H6" s="1">
        <v>44237.354166666664</v>
      </c>
      <c r="I6" s="1">
        <v>44237.479166666664</v>
      </c>
      <c r="J6" s="4">
        <f t="shared" si="0"/>
        <v>0.125</v>
      </c>
      <c r="K6" t="s">
        <v>190</v>
      </c>
      <c r="M6">
        <v>0</v>
      </c>
      <c r="N6" s="5" t="s">
        <v>144</v>
      </c>
      <c r="Q6" s="2" t="s">
        <v>19</v>
      </c>
      <c r="S6" t="s">
        <v>115</v>
      </c>
    </row>
    <row r="7" spans="1:19" ht="68" x14ac:dyDescent="0.2">
      <c r="A7" t="s">
        <v>189</v>
      </c>
      <c r="B7" t="s">
        <v>15</v>
      </c>
      <c r="C7" t="s">
        <v>16</v>
      </c>
      <c r="D7" s="3">
        <v>44238</v>
      </c>
      <c r="E7" s="1">
        <v>44238.474189814813</v>
      </c>
      <c r="F7" t="s">
        <v>17</v>
      </c>
      <c r="G7" t="s">
        <v>22</v>
      </c>
      <c r="H7" s="1">
        <v>44238.354166666664</v>
      </c>
      <c r="I7" s="1">
        <v>44238.479166666664</v>
      </c>
      <c r="J7" s="4">
        <f t="shared" si="0"/>
        <v>0.125</v>
      </c>
      <c r="K7" t="s">
        <v>191</v>
      </c>
      <c r="M7">
        <v>1</v>
      </c>
      <c r="N7" s="6">
        <v>0</v>
      </c>
      <c r="Q7" s="2" t="s">
        <v>19</v>
      </c>
      <c r="S7" t="s">
        <v>133</v>
      </c>
    </row>
    <row r="8" spans="1:19" ht="68" x14ac:dyDescent="0.2">
      <c r="A8" t="s">
        <v>189</v>
      </c>
      <c r="B8" t="s">
        <v>15</v>
      </c>
      <c r="C8" t="s">
        <v>16</v>
      </c>
      <c r="D8" s="3">
        <v>44238</v>
      </c>
      <c r="E8" s="1">
        <v>44238.682245370372</v>
      </c>
      <c r="F8" t="s">
        <v>17</v>
      </c>
      <c r="G8" t="s">
        <v>23</v>
      </c>
      <c r="H8" s="1">
        <v>44238.5625</v>
      </c>
      <c r="I8" s="1">
        <v>44238.6875</v>
      </c>
      <c r="J8" s="4">
        <f t="shared" si="0"/>
        <v>0.125</v>
      </c>
      <c r="K8" t="s">
        <v>192</v>
      </c>
      <c r="M8">
        <v>0</v>
      </c>
      <c r="N8" s="6">
        <v>0</v>
      </c>
      <c r="Q8" s="2" t="s">
        <v>19</v>
      </c>
      <c r="S8" t="s">
        <v>134</v>
      </c>
    </row>
    <row r="9" spans="1:19" ht="68" x14ac:dyDescent="0.2">
      <c r="A9" t="s">
        <v>189</v>
      </c>
      <c r="B9" t="s">
        <v>15</v>
      </c>
      <c r="C9" t="s">
        <v>16</v>
      </c>
      <c r="D9" s="3">
        <v>44239</v>
      </c>
      <c r="E9" s="1">
        <v>44239.470567129632</v>
      </c>
      <c r="F9" t="s">
        <v>17</v>
      </c>
      <c r="G9" t="s">
        <v>24</v>
      </c>
      <c r="H9" s="1">
        <v>44239.354166666664</v>
      </c>
      <c r="I9" s="1">
        <v>44239.479166666664</v>
      </c>
      <c r="J9" s="4">
        <f t="shared" si="0"/>
        <v>0.125</v>
      </c>
      <c r="K9" t="s">
        <v>190</v>
      </c>
      <c r="M9">
        <v>0</v>
      </c>
      <c r="N9" s="5" t="s">
        <v>144</v>
      </c>
      <c r="Q9" s="2" t="s">
        <v>19</v>
      </c>
      <c r="S9" t="s">
        <v>136</v>
      </c>
    </row>
    <row r="10" spans="1:19" ht="68" x14ac:dyDescent="0.2">
      <c r="A10" t="s">
        <v>189</v>
      </c>
      <c r="B10" t="s">
        <v>15</v>
      </c>
      <c r="C10" t="s">
        <v>16</v>
      </c>
      <c r="D10" s="3">
        <v>44242</v>
      </c>
      <c r="E10" s="1">
        <v>44242.473530092589</v>
      </c>
      <c r="F10" t="s">
        <v>17</v>
      </c>
      <c r="G10" t="s">
        <v>20</v>
      </c>
      <c r="H10" s="1">
        <v>44242.354166666664</v>
      </c>
      <c r="I10" s="1">
        <v>44242.479166666664</v>
      </c>
      <c r="J10" s="4">
        <f t="shared" si="0"/>
        <v>0.125</v>
      </c>
      <c r="K10" t="s">
        <v>190</v>
      </c>
      <c r="M10">
        <v>4</v>
      </c>
      <c r="N10" s="6">
        <v>0</v>
      </c>
      <c r="Q10" s="2" t="s">
        <v>19</v>
      </c>
      <c r="S10" t="s">
        <v>138</v>
      </c>
    </row>
    <row r="11" spans="1:19" ht="68" x14ac:dyDescent="0.2">
      <c r="A11" t="s">
        <v>189</v>
      </c>
      <c r="B11" t="s">
        <v>15</v>
      </c>
      <c r="C11" t="s">
        <v>16</v>
      </c>
      <c r="D11" s="3">
        <v>44243</v>
      </c>
      <c r="E11" s="1">
        <v>44243.395949074074</v>
      </c>
      <c r="F11" t="s">
        <v>17</v>
      </c>
      <c r="G11" t="s">
        <v>20</v>
      </c>
      <c r="H11" s="1">
        <v>44243.354166666664</v>
      </c>
      <c r="I11" s="1">
        <v>44243.479166666664</v>
      </c>
      <c r="J11" s="4">
        <f t="shared" si="0"/>
        <v>0.125</v>
      </c>
      <c r="K11" t="s">
        <v>191</v>
      </c>
      <c r="M11">
        <v>3</v>
      </c>
      <c r="N11" s="6">
        <v>0</v>
      </c>
      <c r="Q11" s="2" t="s">
        <v>19</v>
      </c>
      <c r="S11" t="s">
        <v>139</v>
      </c>
    </row>
    <row r="12" spans="1:19" ht="68" x14ac:dyDescent="0.2">
      <c r="A12" t="s">
        <v>189</v>
      </c>
      <c r="B12" t="s">
        <v>15</v>
      </c>
      <c r="C12" t="s">
        <v>16</v>
      </c>
      <c r="D12" s="3">
        <v>44243</v>
      </c>
      <c r="E12" s="1">
        <v>44243.597719907404</v>
      </c>
      <c r="F12" t="s">
        <v>17</v>
      </c>
      <c r="G12" t="s">
        <v>25</v>
      </c>
      <c r="H12" s="1">
        <v>44243.5625</v>
      </c>
      <c r="I12" s="1">
        <v>44243.6875</v>
      </c>
      <c r="J12" s="4">
        <f t="shared" si="0"/>
        <v>0.125</v>
      </c>
      <c r="K12" t="s">
        <v>192</v>
      </c>
      <c r="M12">
        <v>3</v>
      </c>
      <c r="N12" s="6">
        <v>0</v>
      </c>
      <c r="Q12" s="2" t="s">
        <v>19</v>
      </c>
      <c r="S12" t="s">
        <v>140</v>
      </c>
    </row>
    <row r="13" spans="1:19" ht="68" x14ac:dyDescent="0.2">
      <c r="A13" t="s">
        <v>189</v>
      </c>
      <c r="B13" t="s">
        <v>15</v>
      </c>
      <c r="C13" t="s">
        <v>16</v>
      </c>
      <c r="D13" s="3">
        <v>44244</v>
      </c>
      <c r="E13" s="1">
        <v>44244.373414351852</v>
      </c>
      <c r="F13" t="s">
        <v>17</v>
      </c>
      <c r="G13" t="s">
        <v>26</v>
      </c>
      <c r="H13" s="1">
        <v>44244.354166666664</v>
      </c>
      <c r="I13" s="1">
        <v>44244.479166666664</v>
      </c>
      <c r="J13" s="4">
        <f t="shared" si="0"/>
        <v>0.125</v>
      </c>
      <c r="K13" t="s">
        <v>190</v>
      </c>
      <c r="M13">
        <v>4</v>
      </c>
      <c r="N13" s="6">
        <v>0</v>
      </c>
      <c r="Q13" s="2" t="s">
        <v>19</v>
      </c>
    </row>
    <row r="14" spans="1:19" ht="68" x14ac:dyDescent="0.2">
      <c r="A14" t="s">
        <v>189</v>
      </c>
      <c r="B14" t="s">
        <v>15</v>
      </c>
      <c r="C14" t="s">
        <v>16</v>
      </c>
      <c r="D14" s="3">
        <v>44244</v>
      </c>
      <c r="E14" s="1">
        <v>44244.447592592594</v>
      </c>
      <c r="F14" t="s">
        <v>17</v>
      </c>
      <c r="G14" t="s">
        <v>26</v>
      </c>
      <c r="H14" s="1">
        <v>44244.354166666664</v>
      </c>
      <c r="I14" s="1">
        <v>44244.479166666664</v>
      </c>
      <c r="J14" s="4">
        <f t="shared" si="0"/>
        <v>0.125</v>
      </c>
      <c r="K14" t="s">
        <v>190</v>
      </c>
      <c r="M14">
        <v>5</v>
      </c>
      <c r="N14" s="6">
        <v>0</v>
      </c>
      <c r="Q14" s="2" t="s">
        <v>19</v>
      </c>
    </row>
    <row r="15" spans="1:19" ht="68" x14ac:dyDescent="0.2">
      <c r="A15" t="s">
        <v>189</v>
      </c>
      <c r="B15" t="s">
        <v>15</v>
      </c>
      <c r="C15" t="s">
        <v>16</v>
      </c>
      <c r="D15" s="3">
        <v>44245</v>
      </c>
      <c r="E15" s="1">
        <v>44245.470671296294</v>
      </c>
      <c r="F15" t="s">
        <v>17</v>
      </c>
      <c r="G15" t="s">
        <v>27</v>
      </c>
      <c r="H15" s="1">
        <v>44245.354166666664</v>
      </c>
      <c r="I15" s="1">
        <v>44245.479166666664</v>
      </c>
      <c r="J15" s="4">
        <f t="shared" si="0"/>
        <v>0.125</v>
      </c>
      <c r="K15" t="s">
        <v>191</v>
      </c>
      <c r="M15">
        <v>3</v>
      </c>
      <c r="N15" s="6">
        <v>0</v>
      </c>
      <c r="Q15" s="2" t="s">
        <v>19</v>
      </c>
    </row>
    <row r="16" spans="1:19" ht="68" x14ac:dyDescent="0.2">
      <c r="A16" t="s">
        <v>189</v>
      </c>
      <c r="B16" t="s">
        <v>15</v>
      </c>
      <c r="C16" t="s">
        <v>16</v>
      </c>
      <c r="D16" s="3">
        <v>44245</v>
      </c>
      <c r="E16" s="1">
        <v>44245.632384259261</v>
      </c>
      <c r="F16" t="s">
        <v>17</v>
      </c>
      <c r="G16" t="s">
        <v>28</v>
      </c>
      <c r="H16" s="1">
        <v>44245.5625</v>
      </c>
      <c r="I16" s="1">
        <v>44245.635416666664</v>
      </c>
      <c r="J16" s="4">
        <f t="shared" si="0"/>
        <v>7.2916666664241347E-2</v>
      </c>
      <c r="K16" t="s">
        <v>192</v>
      </c>
      <c r="M16">
        <v>1</v>
      </c>
      <c r="N16" s="6">
        <v>0</v>
      </c>
      <c r="Q16" s="2" t="s">
        <v>19</v>
      </c>
    </row>
    <row r="17" spans="1:17" ht="68" x14ac:dyDescent="0.2">
      <c r="A17" t="s">
        <v>189</v>
      </c>
      <c r="B17" t="s">
        <v>15</v>
      </c>
      <c r="C17" t="s">
        <v>16</v>
      </c>
      <c r="D17" s="3">
        <v>44246</v>
      </c>
      <c r="E17" s="1">
        <v>44246.472638888888</v>
      </c>
      <c r="F17" t="s">
        <v>17</v>
      </c>
      <c r="G17" t="s">
        <v>24</v>
      </c>
      <c r="H17" s="1">
        <v>44246.354166666664</v>
      </c>
      <c r="I17" s="1">
        <v>44246.479166666664</v>
      </c>
      <c r="J17" s="4">
        <f t="shared" si="0"/>
        <v>0.125</v>
      </c>
      <c r="K17" t="s">
        <v>190</v>
      </c>
      <c r="M17">
        <v>10</v>
      </c>
      <c r="N17" s="6">
        <v>0</v>
      </c>
      <c r="Q17" s="2" t="s">
        <v>19</v>
      </c>
    </row>
    <row r="18" spans="1:17" ht="68" x14ac:dyDescent="0.2">
      <c r="A18" t="s">
        <v>189</v>
      </c>
      <c r="B18" t="s">
        <v>15</v>
      </c>
      <c r="C18" t="s">
        <v>16</v>
      </c>
      <c r="D18" s="3">
        <v>44249</v>
      </c>
      <c r="E18" s="1">
        <v>44249.477314814816</v>
      </c>
      <c r="F18" t="s">
        <v>17</v>
      </c>
      <c r="G18" t="s">
        <v>29</v>
      </c>
      <c r="H18" s="1">
        <v>44249.354166666664</v>
      </c>
      <c r="I18" s="1">
        <v>44249.479166666664</v>
      </c>
      <c r="J18" s="4">
        <f t="shared" si="0"/>
        <v>0.125</v>
      </c>
      <c r="K18" t="s">
        <v>190</v>
      </c>
      <c r="M18">
        <v>3</v>
      </c>
      <c r="N18" s="6">
        <v>0</v>
      </c>
      <c r="Q18" s="2" t="s">
        <v>19</v>
      </c>
    </row>
    <row r="19" spans="1:17" ht="68" x14ac:dyDescent="0.2">
      <c r="A19" t="s">
        <v>189</v>
      </c>
      <c r="B19" t="s">
        <v>15</v>
      </c>
      <c r="C19" t="s">
        <v>16</v>
      </c>
      <c r="D19" s="3">
        <v>44250</v>
      </c>
      <c r="E19" s="1">
        <v>44250.468645833331</v>
      </c>
      <c r="F19" t="s">
        <v>17</v>
      </c>
      <c r="G19" t="s">
        <v>20</v>
      </c>
      <c r="H19" s="1">
        <v>44250.354166666664</v>
      </c>
      <c r="I19" s="1">
        <v>44250.479166666664</v>
      </c>
      <c r="J19" s="4">
        <f t="shared" si="0"/>
        <v>0.125</v>
      </c>
      <c r="K19" t="s">
        <v>191</v>
      </c>
      <c r="M19">
        <v>2</v>
      </c>
      <c r="N19" s="6">
        <v>0</v>
      </c>
      <c r="Q19" s="2" t="s">
        <v>19</v>
      </c>
    </row>
    <row r="20" spans="1:17" ht="68" x14ac:dyDescent="0.2">
      <c r="A20" t="s">
        <v>189</v>
      </c>
      <c r="B20" t="s">
        <v>15</v>
      </c>
      <c r="C20" t="s">
        <v>16</v>
      </c>
      <c r="D20" s="3">
        <v>44250</v>
      </c>
      <c r="E20" s="1">
        <v>44250.683344907404</v>
      </c>
      <c r="F20" t="s">
        <v>17</v>
      </c>
      <c r="G20" t="s">
        <v>30</v>
      </c>
      <c r="H20" s="1">
        <v>44250.5625</v>
      </c>
      <c r="I20" s="1">
        <v>44250.6875</v>
      </c>
      <c r="J20" s="4">
        <f t="shared" si="0"/>
        <v>0.125</v>
      </c>
      <c r="K20" t="s">
        <v>192</v>
      </c>
      <c r="M20">
        <v>1</v>
      </c>
      <c r="N20" s="6">
        <v>0</v>
      </c>
      <c r="Q20" s="2" t="s">
        <v>19</v>
      </c>
    </row>
    <row r="21" spans="1:17" ht="68" x14ac:dyDescent="0.2">
      <c r="A21" t="s">
        <v>189</v>
      </c>
      <c r="B21" t="s">
        <v>15</v>
      </c>
      <c r="C21" t="s">
        <v>16</v>
      </c>
      <c r="D21" s="3">
        <v>44251</v>
      </c>
      <c r="E21" s="1">
        <v>44251.473622685182</v>
      </c>
      <c r="F21" t="s">
        <v>17</v>
      </c>
      <c r="G21" t="s">
        <v>31</v>
      </c>
      <c r="H21" s="1">
        <v>44251.354166666664</v>
      </c>
      <c r="I21" s="1">
        <v>44251.479166666664</v>
      </c>
      <c r="J21" s="4">
        <f t="shared" si="0"/>
        <v>0.125</v>
      </c>
      <c r="K21" t="s">
        <v>190</v>
      </c>
      <c r="M21">
        <v>7</v>
      </c>
      <c r="N21" s="6">
        <v>0</v>
      </c>
      <c r="Q21" s="2" t="s">
        <v>19</v>
      </c>
    </row>
    <row r="22" spans="1:17" ht="68" x14ac:dyDescent="0.2">
      <c r="A22" t="s">
        <v>189</v>
      </c>
      <c r="B22" t="s">
        <v>15</v>
      </c>
      <c r="C22" t="s">
        <v>16</v>
      </c>
      <c r="D22" s="3">
        <v>44252</v>
      </c>
      <c r="E22" s="1">
        <v>44252.419120370374</v>
      </c>
      <c r="F22" t="s">
        <v>17</v>
      </c>
      <c r="G22" t="s">
        <v>27</v>
      </c>
      <c r="H22" s="1">
        <v>44252.354166666664</v>
      </c>
      <c r="I22" s="1">
        <v>44252.479166666664</v>
      </c>
      <c r="J22" s="4">
        <f t="shared" si="0"/>
        <v>0.125</v>
      </c>
      <c r="K22" t="s">
        <v>191</v>
      </c>
      <c r="M22">
        <v>2</v>
      </c>
      <c r="N22" s="6">
        <v>0</v>
      </c>
      <c r="Q22" s="2" t="s">
        <v>19</v>
      </c>
    </row>
    <row r="23" spans="1:17" ht="68" x14ac:dyDescent="0.2">
      <c r="A23" t="s">
        <v>189</v>
      </c>
      <c r="B23" t="s">
        <v>15</v>
      </c>
      <c r="C23" t="s">
        <v>16</v>
      </c>
      <c r="D23" s="3">
        <v>44252</v>
      </c>
      <c r="E23" s="1">
        <v>44252.684560185182</v>
      </c>
      <c r="F23" t="s">
        <v>17</v>
      </c>
      <c r="G23" t="s">
        <v>23</v>
      </c>
      <c r="H23" s="1">
        <v>44252.5625</v>
      </c>
      <c r="I23" s="1">
        <v>44252.6875</v>
      </c>
      <c r="J23" s="4">
        <f t="shared" si="0"/>
        <v>0.125</v>
      </c>
      <c r="K23" t="s">
        <v>192</v>
      </c>
      <c r="M23">
        <v>1</v>
      </c>
      <c r="N23" s="6">
        <v>0</v>
      </c>
      <c r="Q23" s="2" t="s">
        <v>19</v>
      </c>
    </row>
    <row r="24" spans="1:17" ht="68" x14ac:dyDescent="0.2">
      <c r="A24" t="s">
        <v>189</v>
      </c>
      <c r="B24" t="s">
        <v>15</v>
      </c>
      <c r="C24" t="s">
        <v>16</v>
      </c>
      <c r="D24" s="3">
        <v>44253</v>
      </c>
      <c r="E24" s="1">
        <v>44253.373113425929</v>
      </c>
      <c r="F24" t="s">
        <v>17</v>
      </c>
      <c r="G24" t="s">
        <v>24</v>
      </c>
      <c r="H24" s="1">
        <v>44253.354166666664</v>
      </c>
      <c r="I24" s="1">
        <v>44253.479166666664</v>
      </c>
      <c r="J24" s="4">
        <f t="shared" si="0"/>
        <v>0.125</v>
      </c>
      <c r="K24" t="s">
        <v>190</v>
      </c>
      <c r="M24">
        <v>6</v>
      </c>
      <c r="N24" s="6">
        <v>0</v>
      </c>
      <c r="Q24" s="2" t="s">
        <v>19</v>
      </c>
    </row>
    <row r="25" spans="1:17" ht="68" x14ac:dyDescent="0.2">
      <c r="A25" t="s">
        <v>189</v>
      </c>
      <c r="B25" t="s">
        <v>15</v>
      </c>
      <c r="C25" t="s">
        <v>16</v>
      </c>
      <c r="D25" s="3">
        <v>44256</v>
      </c>
      <c r="E25" s="1">
        <v>44256.468842592592</v>
      </c>
      <c r="F25" t="s">
        <v>17</v>
      </c>
      <c r="G25" t="s">
        <v>26</v>
      </c>
      <c r="H25" s="1">
        <v>44256.354166666664</v>
      </c>
      <c r="I25" s="1">
        <v>44256.479166666664</v>
      </c>
      <c r="J25" s="4">
        <f t="shared" si="0"/>
        <v>0.125</v>
      </c>
      <c r="K25" t="s">
        <v>190</v>
      </c>
      <c r="M25">
        <v>7</v>
      </c>
      <c r="N25" s="6">
        <v>0</v>
      </c>
      <c r="Q25" s="2" t="s">
        <v>19</v>
      </c>
    </row>
    <row r="26" spans="1:17" ht="68" x14ac:dyDescent="0.2">
      <c r="A26" t="s">
        <v>189</v>
      </c>
      <c r="B26" t="s">
        <v>15</v>
      </c>
      <c r="C26" t="s">
        <v>16</v>
      </c>
      <c r="D26" s="3">
        <v>44257</v>
      </c>
      <c r="E26" s="1">
        <v>44257.469988425924</v>
      </c>
      <c r="F26" t="s">
        <v>17</v>
      </c>
      <c r="G26" t="s">
        <v>32</v>
      </c>
      <c r="H26" s="1">
        <v>44257.354166666664</v>
      </c>
      <c r="I26" s="1">
        <v>44257.479166666664</v>
      </c>
      <c r="J26" s="4">
        <f t="shared" si="0"/>
        <v>0.125</v>
      </c>
      <c r="K26" t="s">
        <v>191</v>
      </c>
      <c r="M26">
        <v>0</v>
      </c>
      <c r="N26" s="6">
        <v>0</v>
      </c>
      <c r="Q26" s="2" t="s">
        <v>19</v>
      </c>
    </row>
    <row r="27" spans="1:17" ht="68" x14ac:dyDescent="0.2">
      <c r="A27" t="s">
        <v>189</v>
      </c>
      <c r="B27" t="s">
        <v>15</v>
      </c>
      <c r="C27" t="s">
        <v>16</v>
      </c>
      <c r="D27" s="3">
        <v>44257</v>
      </c>
      <c r="E27" s="1">
        <v>44257.566759259258</v>
      </c>
      <c r="F27" t="s">
        <v>17</v>
      </c>
      <c r="G27" t="s">
        <v>33</v>
      </c>
      <c r="H27" s="1">
        <v>44257.5625</v>
      </c>
      <c r="I27" s="1">
        <v>44257.6875</v>
      </c>
      <c r="J27" s="4">
        <f t="shared" si="0"/>
        <v>0.125</v>
      </c>
      <c r="K27" t="s">
        <v>192</v>
      </c>
      <c r="M27">
        <v>1</v>
      </c>
      <c r="N27" s="6">
        <v>0</v>
      </c>
      <c r="Q27" s="2" t="s">
        <v>19</v>
      </c>
    </row>
    <row r="28" spans="1:17" ht="68" x14ac:dyDescent="0.2">
      <c r="A28" t="s">
        <v>189</v>
      </c>
      <c r="B28" t="s">
        <v>15</v>
      </c>
      <c r="C28" t="s">
        <v>16</v>
      </c>
      <c r="D28" s="3">
        <v>44257</v>
      </c>
      <c r="E28" s="1">
        <v>44257.67287037037</v>
      </c>
      <c r="F28" t="s">
        <v>17</v>
      </c>
      <c r="G28" t="s">
        <v>33</v>
      </c>
      <c r="H28" s="1">
        <v>44257.5625</v>
      </c>
      <c r="I28" s="1">
        <v>44257.6875</v>
      </c>
      <c r="J28" s="4">
        <f t="shared" si="0"/>
        <v>0.125</v>
      </c>
      <c r="K28" t="s">
        <v>192</v>
      </c>
      <c r="M28">
        <v>1</v>
      </c>
      <c r="N28" s="6">
        <v>0</v>
      </c>
      <c r="Q28" s="2" t="s">
        <v>19</v>
      </c>
    </row>
    <row r="29" spans="1:17" ht="68" x14ac:dyDescent="0.2">
      <c r="A29" t="s">
        <v>189</v>
      </c>
      <c r="B29" t="s">
        <v>15</v>
      </c>
      <c r="C29" t="s">
        <v>16</v>
      </c>
      <c r="D29" s="3">
        <v>44258</v>
      </c>
      <c r="E29" s="1">
        <v>44258.370729166665</v>
      </c>
      <c r="F29" t="s">
        <v>17</v>
      </c>
      <c r="G29" t="s">
        <v>31</v>
      </c>
      <c r="H29" s="1">
        <v>44258.354166666664</v>
      </c>
      <c r="I29" s="1">
        <v>44258.458333333336</v>
      </c>
      <c r="J29" s="4">
        <f t="shared" si="0"/>
        <v>0.10416666667151731</v>
      </c>
      <c r="K29" t="s">
        <v>190</v>
      </c>
      <c r="M29">
        <v>6</v>
      </c>
      <c r="N29" s="6">
        <v>0</v>
      </c>
      <c r="Q29" s="2" t="s">
        <v>19</v>
      </c>
    </row>
    <row r="30" spans="1:17" ht="68" x14ac:dyDescent="0.2">
      <c r="A30" t="s">
        <v>189</v>
      </c>
      <c r="B30" t="s">
        <v>15</v>
      </c>
      <c r="C30" t="s">
        <v>16</v>
      </c>
      <c r="D30" s="3">
        <v>44259</v>
      </c>
      <c r="E30" s="1">
        <v>44259.473182870373</v>
      </c>
      <c r="F30" t="s">
        <v>17</v>
      </c>
      <c r="G30" t="s">
        <v>24</v>
      </c>
      <c r="H30" s="1">
        <v>44259.354166666664</v>
      </c>
      <c r="I30" s="1">
        <v>44259.479166666664</v>
      </c>
      <c r="J30" s="4">
        <f t="shared" si="0"/>
        <v>0.125</v>
      </c>
      <c r="K30" t="s">
        <v>191</v>
      </c>
      <c r="M30">
        <v>0</v>
      </c>
      <c r="N30" s="6">
        <v>0</v>
      </c>
      <c r="Q30" s="2" t="s">
        <v>19</v>
      </c>
    </row>
    <row r="31" spans="1:17" ht="68" x14ac:dyDescent="0.2">
      <c r="A31" t="s">
        <v>189</v>
      </c>
      <c r="B31" t="s">
        <v>15</v>
      </c>
      <c r="C31" t="s">
        <v>16</v>
      </c>
      <c r="D31" s="3">
        <v>44259</v>
      </c>
      <c r="E31" s="1">
        <v>44259.591863425929</v>
      </c>
      <c r="F31" t="s">
        <v>17</v>
      </c>
      <c r="G31" t="s">
        <v>25</v>
      </c>
      <c r="H31" s="1">
        <v>44259.5625</v>
      </c>
      <c r="I31" s="1">
        <v>44259.625</v>
      </c>
      <c r="J31" s="4">
        <f t="shared" si="0"/>
        <v>6.25E-2</v>
      </c>
      <c r="K31" t="s">
        <v>192</v>
      </c>
      <c r="M31">
        <v>2</v>
      </c>
      <c r="N31" s="6">
        <v>0</v>
      </c>
      <c r="Q31" s="2" t="s">
        <v>19</v>
      </c>
    </row>
    <row r="32" spans="1:17" ht="68" x14ac:dyDescent="0.2">
      <c r="A32" t="s">
        <v>189</v>
      </c>
      <c r="B32" t="s">
        <v>15</v>
      </c>
      <c r="C32" t="s">
        <v>16</v>
      </c>
      <c r="D32" s="3">
        <v>44260</v>
      </c>
      <c r="E32" s="1">
        <v>44260.383449074077</v>
      </c>
      <c r="F32" t="s">
        <v>17</v>
      </c>
      <c r="G32" t="s">
        <v>31</v>
      </c>
      <c r="H32" s="1">
        <v>44260.354166666664</v>
      </c>
      <c r="I32" s="1">
        <v>44260.479166666664</v>
      </c>
      <c r="J32" s="4">
        <f t="shared" si="0"/>
        <v>0.125</v>
      </c>
      <c r="K32" t="s">
        <v>190</v>
      </c>
      <c r="M32">
        <v>9</v>
      </c>
      <c r="N32" s="6">
        <v>0</v>
      </c>
      <c r="Q32" s="2" t="s">
        <v>19</v>
      </c>
    </row>
    <row r="33" spans="1:17" ht="68" x14ac:dyDescent="0.2">
      <c r="A33" t="s">
        <v>189</v>
      </c>
      <c r="B33" t="s">
        <v>15</v>
      </c>
      <c r="C33" t="s">
        <v>16</v>
      </c>
      <c r="D33" s="3">
        <v>44263</v>
      </c>
      <c r="E33" s="1">
        <v>44263.472337962965</v>
      </c>
      <c r="F33" t="s">
        <v>17</v>
      </c>
      <c r="G33" t="s">
        <v>26</v>
      </c>
      <c r="H33" s="1">
        <v>44263.354166666664</v>
      </c>
      <c r="I33" s="1">
        <v>44263.479166666664</v>
      </c>
      <c r="J33" s="4">
        <f t="shared" si="0"/>
        <v>0.125</v>
      </c>
      <c r="K33" t="s">
        <v>190</v>
      </c>
      <c r="M33">
        <v>9</v>
      </c>
      <c r="N33" s="6">
        <v>0</v>
      </c>
      <c r="Q33" s="2" t="s">
        <v>19</v>
      </c>
    </row>
    <row r="34" spans="1:17" ht="68" x14ac:dyDescent="0.2">
      <c r="A34" t="s">
        <v>189</v>
      </c>
      <c r="B34" t="s">
        <v>15</v>
      </c>
      <c r="C34" t="s">
        <v>16</v>
      </c>
      <c r="D34" s="3">
        <v>44264</v>
      </c>
      <c r="E34" s="1">
        <v>44264.427094907405</v>
      </c>
      <c r="F34" t="s">
        <v>17</v>
      </c>
      <c r="G34" t="s">
        <v>24</v>
      </c>
      <c r="H34" s="1">
        <v>44264.354166666664</v>
      </c>
      <c r="I34" s="1">
        <v>44264.479166666664</v>
      </c>
      <c r="J34" s="4">
        <f t="shared" si="0"/>
        <v>0.125</v>
      </c>
      <c r="K34" t="s">
        <v>191</v>
      </c>
      <c r="M34">
        <v>5</v>
      </c>
      <c r="N34" s="6">
        <v>0</v>
      </c>
      <c r="Q34" s="2" t="s">
        <v>19</v>
      </c>
    </row>
    <row r="35" spans="1:17" ht="68" x14ac:dyDescent="0.2">
      <c r="A35" t="s">
        <v>189</v>
      </c>
      <c r="B35" t="s">
        <v>15</v>
      </c>
      <c r="C35" t="s">
        <v>16</v>
      </c>
      <c r="D35" s="3">
        <v>44264</v>
      </c>
      <c r="E35" s="1">
        <v>44264.59542824074</v>
      </c>
      <c r="F35" t="s">
        <v>17</v>
      </c>
      <c r="G35" t="s">
        <v>34</v>
      </c>
      <c r="H35" s="1">
        <v>44264.5625</v>
      </c>
      <c r="I35" s="1">
        <v>44264.6875</v>
      </c>
      <c r="J35" s="4">
        <f t="shared" si="0"/>
        <v>0.125</v>
      </c>
      <c r="K35" t="s">
        <v>192</v>
      </c>
      <c r="M35">
        <v>1</v>
      </c>
      <c r="N35" s="6">
        <v>0</v>
      </c>
      <c r="Q35" s="2" t="s">
        <v>19</v>
      </c>
    </row>
    <row r="36" spans="1:17" ht="68" x14ac:dyDescent="0.2">
      <c r="A36" t="s">
        <v>189</v>
      </c>
      <c r="B36" t="s">
        <v>15</v>
      </c>
      <c r="C36" t="s">
        <v>16</v>
      </c>
      <c r="D36" s="3">
        <v>44265</v>
      </c>
      <c r="E36" s="1">
        <v>44265.473645833335</v>
      </c>
      <c r="F36" t="s">
        <v>17</v>
      </c>
      <c r="G36" t="s">
        <v>24</v>
      </c>
      <c r="H36" s="1">
        <v>44265.354166666664</v>
      </c>
      <c r="I36" s="1">
        <v>44265.479166666664</v>
      </c>
      <c r="J36" s="4">
        <f t="shared" si="0"/>
        <v>0.125</v>
      </c>
      <c r="K36" t="s">
        <v>190</v>
      </c>
      <c r="M36">
        <v>4</v>
      </c>
      <c r="N36" s="6">
        <v>0</v>
      </c>
      <c r="Q36" s="2" t="s">
        <v>19</v>
      </c>
    </row>
    <row r="37" spans="1:17" ht="68" x14ac:dyDescent="0.2">
      <c r="A37" t="s">
        <v>189</v>
      </c>
      <c r="B37" t="s">
        <v>15</v>
      </c>
      <c r="C37" t="s">
        <v>16</v>
      </c>
      <c r="D37" s="3">
        <v>44266</v>
      </c>
      <c r="E37" s="1">
        <v>44266.60696759259</v>
      </c>
      <c r="F37" t="s">
        <v>17</v>
      </c>
      <c r="G37" t="s">
        <v>35</v>
      </c>
      <c r="H37" s="1">
        <v>44266.53125</v>
      </c>
      <c r="I37" s="1">
        <v>44266.666666666664</v>
      </c>
      <c r="J37" s="4">
        <f t="shared" si="0"/>
        <v>0.13541666666424135</v>
      </c>
      <c r="K37" t="s">
        <v>192</v>
      </c>
      <c r="M37">
        <v>2</v>
      </c>
      <c r="N37" s="6">
        <v>0</v>
      </c>
      <c r="Q37" s="2" t="s">
        <v>19</v>
      </c>
    </row>
    <row r="38" spans="1:17" ht="68" x14ac:dyDescent="0.2">
      <c r="A38" t="s">
        <v>189</v>
      </c>
      <c r="B38" t="s">
        <v>15</v>
      </c>
      <c r="C38" t="s">
        <v>16</v>
      </c>
      <c r="D38" s="3">
        <v>44270</v>
      </c>
      <c r="E38" s="1">
        <v>44270.472141203703</v>
      </c>
      <c r="F38" t="s">
        <v>17</v>
      </c>
      <c r="G38" t="s">
        <v>24</v>
      </c>
      <c r="H38" s="1">
        <v>44270.354166666664</v>
      </c>
      <c r="I38" s="1">
        <v>44270.479166666664</v>
      </c>
      <c r="J38" s="4">
        <f t="shared" si="0"/>
        <v>0.125</v>
      </c>
      <c r="K38" t="s">
        <v>190</v>
      </c>
      <c r="M38">
        <v>6</v>
      </c>
      <c r="N38" s="6">
        <v>0</v>
      </c>
      <c r="Q38" s="2" t="s">
        <v>19</v>
      </c>
    </row>
    <row r="39" spans="1:17" ht="68" x14ac:dyDescent="0.2">
      <c r="A39" t="s">
        <v>189</v>
      </c>
      <c r="B39" t="s">
        <v>15</v>
      </c>
      <c r="C39" t="s">
        <v>16</v>
      </c>
      <c r="D39" s="3">
        <v>44271</v>
      </c>
      <c r="E39" s="1">
        <v>44271.494016203702</v>
      </c>
      <c r="F39" t="s">
        <v>17</v>
      </c>
      <c r="G39" t="s">
        <v>36</v>
      </c>
      <c r="H39" s="1">
        <v>44271.375</v>
      </c>
      <c r="I39" s="1">
        <v>44271.489583333336</v>
      </c>
      <c r="J39" s="4">
        <f t="shared" si="0"/>
        <v>0.11458333333575865</v>
      </c>
      <c r="K39" t="s">
        <v>192</v>
      </c>
      <c r="M39">
        <v>0</v>
      </c>
      <c r="N39" s="6">
        <v>0</v>
      </c>
      <c r="Q39" s="2" t="s">
        <v>19</v>
      </c>
    </row>
    <row r="40" spans="1:17" ht="68" x14ac:dyDescent="0.2">
      <c r="A40" t="s">
        <v>189</v>
      </c>
      <c r="B40" t="s">
        <v>15</v>
      </c>
      <c r="C40" t="s">
        <v>16</v>
      </c>
      <c r="D40" s="3">
        <v>44271</v>
      </c>
      <c r="E40" s="1">
        <v>44271.6325</v>
      </c>
      <c r="F40" t="s">
        <v>17</v>
      </c>
      <c r="G40" t="s">
        <v>37</v>
      </c>
      <c r="H40" s="1">
        <v>44271.53125</v>
      </c>
      <c r="I40" s="1">
        <v>44271.635416666664</v>
      </c>
      <c r="J40" s="4">
        <f t="shared" si="0"/>
        <v>0.10416666666424135</v>
      </c>
      <c r="K40" t="s">
        <v>192</v>
      </c>
      <c r="M40">
        <v>1</v>
      </c>
      <c r="N40" s="6">
        <v>0</v>
      </c>
      <c r="Q40" s="2" t="s">
        <v>19</v>
      </c>
    </row>
    <row r="41" spans="1:17" ht="68" x14ac:dyDescent="0.2">
      <c r="A41" t="s">
        <v>189</v>
      </c>
      <c r="B41" t="s">
        <v>15</v>
      </c>
      <c r="C41" t="s">
        <v>16</v>
      </c>
      <c r="D41" s="3">
        <v>44272</v>
      </c>
      <c r="E41" s="1">
        <v>44272.476342592592</v>
      </c>
      <c r="F41" t="s">
        <v>17</v>
      </c>
      <c r="G41" t="s">
        <v>38</v>
      </c>
      <c r="H41" s="1">
        <v>44272.354166666664</v>
      </c>
      <c r="I41" s="1">
        <v>44272.479166666664</v>
      </c>
      <c r="J41" s="4">
        <f t="shared" si="0"/>
        <v>0.125</v>
      </c>
      <c r="K41" t="s">
        <v>190</v>
      </c>
      <c r="M41">
        <v>0</v>
      </c>
      <c r="N41" s="5" t="s">
        <v>144</v>
      </c>
      <c r="Q41" s="2" t="s">
        <v>19</v>
      </c>
    </row>
    <row r="42" spans="1:17" ht="68" x14ac:dyDescent="0.2">
      <c r="A42" t="s">
        <v>189</v>
      </c>
      <c r="B42" t="s">
        <v>15</v>
      </c>
      <c r="C42" t="s">
        <v>16</v>
      </c>
      <c r="D42" s="3">
        <v>44273</v>
      </c>
      <c r="E42" s="1">
        <v>44273.408449074072</v>
      </c>
      <c r="F42" t="s">
        <v>17</v>
      </c>
      <c r="G42" t="s">
        <v>39</v>
      </c>
      <c r="H42" s="1">
        <v>44273.375</v>
      </c>
      <c r="I42" s="1">
        <v>44273.489583333336</v>
      </c>
      <c r="J42" s="4">
        <f t="shared" si="0"/>
        <v>0.11458333333575865</v>
      </c>
      <c r="K42" t="s">
        <v>192</v>
      </c>
      <c r="M42">
        <v>1</v>
      </c>
      <c r="N42" s="6">
        <v>0</v>
      </c>
      <c r="Q42" s="2" t="s">
        <v>19</v>
      </c>
    </row>
    <row r="43" spans="1:17" ht="68" x14ac:dyDescent="0.2">
      <c r="A43" t="s">
        <v>189</v>
      </c>
      <c r="B43" t="s">
        <v>15</v>
      </c>
      <c r="C43" t="s">
        <v>16</v>
      </c>
      <c r="D43" s="3">
        <v>44273</v>
      </c>
      <c r="E43" s="1">
        <v>44273.571296296293</v>
      </c>
      <c r="F43" t="s">
        <v>17</v>
      </c>
      <c r="G43" t="s">
        <v>40</v>
      </c>
      <c r="H43" s="1">
        <v>44273.53125</v>
      </c>
      <c r="I43" s="1">
        <v>44273.666666666664</v>
      </c>
      <c r="J43" s="4">
        <f t="shared" si="0"/>
        <v>0.13541666666424135</v>
      </c>
      <c r="K43" t="s">
        <v>192</v>
      </c>
      <c r="M43">
        <v>2</v>
      </c>
      <c r="N43" s="6">
        <v>0</v>
      </c>
      <c r="Q43" s="2" t="s">
        <v>19</v>
      </c>
    </row>
    <row r="44" spans="1:17" ht="68" x14ac:dyDescent="0.2">
      <c r="A44" t="s">
        <v>189</v>
      </c>
      <c r="B44" t="s">
        <v>15</v>
      </c>
      <c r="C44" t="s">
        <v>16</v>
      </c>
      <c r="D44" s="3">
        <v>44279</v>
      </c>
      <c r="E44" s="1">
        <v>44279.473749999997</v>
      </c>
      <c r="F44" t="s">
        <v>17</v>
      </c>
      <c r="G44" t="s">
        <v>41</v>
      </c>
      <c r="H44" s="1">
        <v>44279.354166666664</v>
      </c>
      <c r="I44" s="1">
        <v>44279.479166666664</v>
      </c>
      <c r="J44" s="4">
        <f t="shared" si="0"/>
        <v>0.125</v>
      </c>
      <c r="K44" t="s">
        <v>190</v>
      </c>
      <c r="M44">
        <v>7</v>
      </c>
      <c r="N44" s="6">
        <v>0</v>
      </c>
      <c r="Q44" s="2" t="s">
        <v>19</v>
      </c>
    </row>
    <row r="45" spans="1:17" ht="68" x14ac:dyDescent="0.2">
      <c r="A45" t="s">
        <v>189</v>
      </c>
      <c r="B45" t="s">
        <v>15</v>
      </c>
      <c r="C45" t="s">
        <v>16</v>
      </c>
      <c r="D45" s="3">
        <v>44281</v>
      </c>
      <c r="E45" s="1">
        <v>44281.47552083333</v>
      </c>
      <c r="F45" t="s">
        <v>17</v>
      </c>
      <c r="G45" t="s">
        <v>38</v>
      </c>
      <c r="H45" s="1">
        <v>44281.354166666664</v>
      </c>
      <c r="I45" s="1">
        <v>44281.479166666664</v>
      </c>
      <c r="J45" s="4">
        <f t="shared" si="0"/>
        <v>0.125</v>
      </c>
      <c r="K45" t="s">
        <v>190</v>
      </c>
      <c r="M45">
        <v>2</v>
      </c>
      <c r="N45" s="6">
        <v>0</v>
      </c>
      <c r="Q45" s="2" t="s">
        <v>19</v>
      </c>
    </row>
    <row r="46" spans="1:17" ht="68" x14ac:dyDescent="0.2">
      <c r="A46" t="s">
        <v>189</v>
      </c>
      <c r="B46" t="s">
        <v>15</v>
      </c>
      <c r="C46" t="s">
        <v>16</v>
      </c>
      <c r="D46" s="3">
        <v>44284</v>
      </c>
      <c r="E46" s="1">
        <v>44284.472743055558</v>
      </c>
      <c r="F46" t="s">
        <v>17</v>
      </c>
      <c r="G46" t="s">
        <v>38</v>
      </c>
      <c r="H46" s="1">
        <v>44284.354166666664</v>
      </c>
      <c r="I46" s="1">
        <v>44284.479166666664</v>
      </c>
      <c r="J46" s="4">
        <f t="shared" si="0"/>
        <v>0.125</v>
      </c>
      <c r="K46" t="s">
        <v>190</v>
      </c>
      <c r="M46">
        <v>2</v>
      </c>
      <c r="N46" s="6">
        <v>0</v>
      </c>
      <c r="Q46" s="2" t="s">
        <v>19</v>
      </c>
    </row>
    <row r="47" spans="1:17" ht="68" x14ac:dyDescent="0.2">
      <c r="A47" t="s">
        <v>189</v>
      </c>
      <c r="B47" t="s">
        <v>15</v>
      </c>
      <c r="C47" t="s">
        <v>16</v>
      </c>
      <c r="D47" s="3">
        <v>44285</v>
      </c>
      <c r="E47" s="1">
        <v>44285.407175925924</v>
      </c>
      <c r="F47" t="s">
        <v>17</v>
      </c>
      <c r="G47" t="s">
        <v>29</v>
      </c>
      <c r="H47" s="1">
        <v>44285.375</v>
      </c>
      <c r="I47" s="1">
        <v>44285.489583333336</v>
      </c>
      <c r="J47" s="4">
        <f t="shared" si="0"/>
        <v>0.11458333333575865</v>
      </c>
      <c r="K47" t="s">
        <v>192</v>
      </c>
      <c r="M47">
        <v>4</v>
      </c>
      <c r="N47" s="6">
        <v>0</v>
      </c>
      <c r="Q47" s="2" t="s">
        <v>19</v>
      </c>
    </row>
    <row r="48" spans="1:17" ht="68" x14ac:dyDescent="0.2">
      <c r="A48" t="s">
        <v>189</v>
      </c>
      <c r="B48" t="s">
        <v>15</v>
      </c>
      <c r="C48" t="s">
        <v>16</v>
      </c>
      <c r="D48" s="3">
        <v>44285</v>
      </c>
      <c r="E48" s="1">
        <v>44285.548344907409</v>
      </c>
      <c r="F48" t="s">
        <v>17</v>
      </c>
      <c r="G48" t="s">
        <v>42</v>
      </c>
      <c r="H48" s="1">
        <v>44285.53125</v>
      </c>
      <c r="I48" s="1">
        <v>44285.666666666664</v>
      </c>
      <c r="J48" s="4">
        <f t="shared" si="0"/>
        <v>0.13541666666424135</v>
      </c>
      <c r="K48" t="s">
        <v>192</v>
      </c>
      <c r="M48">
        <v>3</v>
      </c>
      <c r="N48" s="6">
        <v>0</v>
      </c>
      <c r="Q48" s="2" t="s">
        <v>19</v>
      </c>
    </row>
    <row r="49" spans="1:17" ht="68" x14ac:dyDescent="0.2">
      <c r="A49" t="s">
        <v>189</v>
      </c>
      <c r="B49" t="s">
        <v>15</v>
      </c>
      <c r="C49" t="s">
        <v>16</v>
      </c>
      <c r="D49" s="3">
        <v>44286</v>
      </c>
      <c r="E49" s="1">
        <v>44286.471979166665</v>
      </c>
      <c r="F49" t="s">
        <v>17</v>
      </c>
      <c r="G49" t="s">
        <v>31</v>
      </c>
      <c r="H49" s="1">
        <v>44286.354166666664</v>
      </c>
      <c r="I49" s="1">
        <v>44286.479166666664</v>
      </c>
      <c r="J49" s="4">
        <f t="shared" si="0"/>
        <v>0.125</v>
      </c>
      <c r="K49" t="s">
        <v>190</v>
      </c>
      <c r="M49">
        <v>7</v>
      </c>
      <c r="N49" s="6">
        <v>0</v>
      </c>
      <c r="Q49" s="2" t="s">
        <v>19</v>
      </c>
    </row>
    <row r="50" spans="1:17" ht="68" x14ac:dyDescent="0.2">
      <c r="A50" t="s">
        <v>189</v>
      </c>
      <c r="B50" t="s">
        <v>15</v>
      </c>
      <c r="C50" t="s">
        <v>16</v>
      </c>
      <c r="D50" s="3">
        <v>44287</v>
      </c>
      <c r="E50" s="1">
        <v>44287.415844907409</v>
      </c>
      <c r="F50" t="s">
        <v>17</v>
      </c>
      <c r="G50" t="s">
        <v>43</v>
      </c>
      <c r="H50" s="1">
        <v>44287.375</v>
      </c>
      <c r="I50" s="1">
        <v>44287.489583333336</v>
      </c>
      <c r="J50" s="4">
        <f t="shared" si="0"/>
        <v>0.11458333333575865</v>
      </c>
      <c r="K50" t="s">
        <v>192</v>
      </c>
      <c r="M50">
        <v>1</v>
      </c>
      <c r="N50" s="6">
        <v>0</v>
      </c>
      <c r="Q50" s="2" t="s">
        <v>19</v>
      </c>
    </row>
    <row r="51" spans="1:17" ht="68" x14ac:dyDescent="0.2">
      <c r="A51" t="s">
        <v>189</v>
      </c>
      <c r="B51" t="s">
        <v>15</v>
      </c>
      <c r="C51" t="s">
        <v>16</v>
      </c>
      <c r="D51" s="3">
        <v>44287</v>
      </c>
      <c r="E51" s="1">
        <v>44287.664189814815</v>
      </c>
      <c r="F51" t="s">
        <v>17</v>
      </c>
      <c r="G51" t="s">
        <v>37</v>
      </c>
      <c r="H51" s="1">
        <v>44287.53125</v>
      </c>
      <c r="I51" s="1">
        <v>44287.666666666664</v>
      </c>
      <c r="J51" s="4">
        <f t="shared" si="0"/>
        <v>0.13541666666424135</v>
      </c>
      <c r="K51" t="s">
        <v>192</v>
      </c>
      <c r="M51">
        <v>2</v>
      </c>
      <c r="N51" s="6">
        <v>0</v>
      </c>
      <c r="Q51" s="2" t="s">
        <v>19</v>
      </c>
    </row>
    <row r="52" spans="1:17" ht="68" x14ac:dyDescent="0.2">
      <c r="A52" t="s">
        <v>189</v>
      </c>
      <c r="B52" t="s">
        <v>15</v>
      </c>
      <c r="C52" t="s">
        <v>16</v>
      </c>
      <c r="D52" s="3">
        <v>44288</v>
      </c>
      <c r="E52" s="1">
        <v>44288.474421296298</v>
      </c>
      <c r="F52" t="s">
        <v>17</v>
      </c>
      <c r="G52" t="s">
        <v>38</v>
      </c>
      <c r="H52" s="1">
        <v>44288.354166666664</v>
      </c>
      <c r="I52" s="1">
        <v>44288.479166666664</v>
      </c>
      <c r="J52" s="4">
        <f t="shared" si="0"/>
        <v>0.125</v>
      </c>
      <c r="K52" t="s">
        <v>190</v>
      </c>
      <c r="M52">
        <v>5</v>
      </c>
      <c r="N52" s="6">
        <v>0</v>
      </c>
      <c r="Q52" s="2" t="s">
        <v>19</v>
      </c>
    </row>
    <row r="53" spans="1:17" ht="68" x14ac:dyDescent="0.2">
      <c r="A53" t="s">
        <v>189</v>
      </c>
      <c r="B53" t="s">
        <v>15</v>
      </c>
      <c r="C53" t="s">
        <v>16</v>
      </c>
      <c r="D53" s="3">
        <v>44291</v>
      </c>
      <c r="E53" s="1">
        <v>44291.465196759258</v>
      </c>
      <c r="F53" t="s">
        <v>17</v>
      </c>
      <c r="G53" t="s">
        <v>38</v>
      </c>
      <c r="H53" s="1">
        <v>44291.354166666664</v>
      </c>
      <c r="I53" s="1">
        <v>44291.479166666664</v>
      </c>
      <c r="J53" s="4">
        <f t="shared" si="0"/>
        <v>0.125</v>
      </c>
      <c r="K53" t="s">
        <v>190</v>
      </c>
      <c r="M53">
        <v>1</v>
      </c>
      <c r="N53" s="6">
        <v>0</v>
      </c>
      <c r="Q53" s="2" t="s">
        <v>19</v>
      </c>
    </row>
    <row r="54" spans="1:17" ht="68" x14ac:dyDescent="0.2">
      <c r="A54" t="s">
        <v>189</v>
      </c>
      <c r="B54" t="s">
        <v>15</v>
      </c>
      <c r="C54" t="s">
        <v>16</v>
      </c>
      <c r="D54" s="3">
        <v>44292</v>
      </c>
      <c r="E54" s="1">
        <v>44292.433611111112</v>
      </c>
      <c r="F54" t="s">
        <v>17</v>
      </c>
      <c r="G54" t="s">
        <v>44</v>
      </c>
      <c r="H54" s="1">
        <v>44292.375</v>
      </c>
      <c r="I54" s="1">
        <v>44292.489583333336</v>
      </c>
      <c r="J54" s="4">
        <f t="shared" si="0"/>
        <v>0.11458333333575865</v>
      </c>
      <c r="K54" t="s">
        <v>192</v>
      </c>
      <c r="M54">
        <v>2</v>
      </c>
      <c r="N54" s="6">
        <v>0</v>
      </c>
      <c r="Q54" s="2" t="s">
        <v>19</v>
      </c>
    </row>
    <row r="55" spans="1:17" ht="68" x14ac:dyDescent="0.2">
      <c r="A55" t="s">
        <v>189</v>
      </c>
      <c r="B55" t="s">
        <v>15</v>
      </c>
      <c r="C55" t="s">
        <v>16</v>
      </c>
      <c r="D55" s="3">
        <v>44292</v>
      </c>
      <c r="E55" s="1">
        <v>44292.66128472222</v>
      </c>
      <c r="F55" t="s">
        <v>17</v>
      </c>
      <c r="G55" t="s">
        <v>45</v>
      </c>
      <c r="H55" s="1">
        <v>44292.53125</v>
      </c>
      <c r="I55" s="1">
        <v>44292.666666666664</v>
      </c>
      <c r="J55" s="4">
        <f t="shared" si="0"/>
        <v>0.13541666666424135</v>
      </c>
      <c r="K55" t="s">
        <v>193</v>
      </c>
      <c r="M55">
        <v>0</v>
      </c>
      <c r="N55" s="6">
        <v>0</v>
      </c>
      <c r="Q55" s="2" t="s">
        <v>19</v>
      </c>
    </row>
    <row r="56" spans="1:17" ht="68" x14ac:dyDescent="0.2">
      <c r="A56" t="s">
        <v>189</v>
      </c>
      <c r="B56" t="s">
        <v>15</v>
      </c>
      <c r="C56" t="s">
        <v>16</v>
      </c>
      <c r="D56" s="3">
        <v>44293</v>
      </c>
      <c r="E56" s="1">
        <v>44293.459618055553</v>
      </c>
      <c r="F56" t="s">
        <v>17</v>
      </c>
      <c r="G56" t="s">
        <v>18</v>
      </c>
      <c r="H56" s="1">
        <v>44293.354166666664</v>
      </c>
      <c r="I56" s="1">
        <v>44293.479166666664</v>
      </c>
      <c r="J56" s="4">
        <f t="shared" si="0"/>
        <v>0.125</v>
      </c>
      <c r="K56" t="s">
        <v>190</v>
      </c>
      <c r="M56">
        <v>0</v>
      </c>
      <c r="N56" s="5" t="s">
        <v>144</v>
      </c>
      <c r="Q56" s="2" t="s">
        <v>19</v>
      </c>
    </row>
    <row r="57" spans="1:17" ht="68" x14ac:dyDescent="0.2">
      <c r="A57" t="s">
        <v>189</v>
      </c>
      <c r="B57" t="s">
        <v>15</v>
      </c>
      <c r="C57" t="s">
        <v>16</v>
      </c>
      <c r="D57" s="3">
        <v>44294</v>
      </c>
      <c r="E57" s="1">
        <v>44294.487071759257</v>
      </c>
      <c r="F57" t="s">
        <v>17</v>
      </c>
      <c r="G57" t="s">
        <v>46</v>
      </c>
      <c r="H57" s="1">
        <v>44294.375</v>
      </c>
      <c r="I57" s="1">
        <v>44294.489583333336</v>
      </c>
      <c r="J57" s="4">
        <f t="shared" si="0"/>
        <v>0.11458333333575865</v>
      </c>
      <c r="K57" t="s">
        <v>194</v>
      </c>
      <c r="M57">
        <v>0</v>
      </c>
      <c r="N57" s="6">
        <v>0</v>
      </c>
      <c r="Q57" s="2" t="s">
        <v>19</v>
      </c>
    </row>
    <row r="58" spans="1:17" ht="68" x14ac:dyDescent="0.2">
      <c r="A58" t="s">
        <v>189</v>
      </c>
      <c r="B58" t="s">
        <v>15</v>
      </c>
      <c r="C58" t="s">
        <v>16</v>
      </c>
      <c r="D58" s="3">
        <v>44294</v>
      </c>
      <c r="E58" s="1">
        <v>44294.669490740744</v>
      </c>
      <c r="F58" t="s">
        <v>17</v>
      </c>
      <c r="G58" t="s">
        <v>42</v>
      </c>
      <c r="H58" s="1">
        <v>44294.53125</v>
      </c>
      <c r="I58" s="1">
        <v>44294.666666666664</v>
      </c>
      <c r="J58" s="4">
        <f t="shared" si="0"/>
        <v>0.13541666666424135</v>
      </c>
      <c r="K58" t="s">
        <v>192</v>
      </c>
      <c r="M58">
        <v>0</v>
      </c>
      <c r="N58" s="6">
        <v>0</v>
      </c>
      <c r="Q58" s="2" t="s">
        <v>19</v>
      </c>
    </row>
    <row r="59" spans="1:17" ht="68" x14ac:dyDescent="0.2">
      <c r="A59" t="s">
        <v>189</v>
      </c>
      <c r="B59" t="s">
        <v>15</v>
      </c>
      <c r="C59" t="s">
        <v>16</v>
      </c>
      <c r="D59" s="3">
        <v>44295</v>
      </c>
      <c r="E59" s="1">
        <v>44295.407465277778</v>
      </c>
      <c r="F59" t="s">
        <v>17</v>
      </c>
      <c r="G59" t="s">
        <v>31</v>
      </c>
      <c r="H59" s="1">
        <v>44295.354166666664</v>
      </c>
      <c r="I59" s="1">
        <v>44295.479166666664</v>
      </c>
      <c r="J59" s="4">
        <f t="shared" si="0"/>
        <v>0.125</v>
      </c>
      <c r="K59" t="s">
        <v>190</v>
      </c>
      <c r="M59">
        <v>2</v>
      </c>
      <c r="N59" s="6">
        <v>0</v>
      </c>
      <c r="Q59" s="2" t="s">
        <v>19</v>
      </c>
    </row>
    <row r="60" spans="1:17" ht="68" x14ac:dyDescent="0.2">
      <c r="A60" t="s">
        <v>189</v>
      </c>
      <c r="B60" t="s">
        <v>15</v>
      </c>
      <c r="C60" t="s">
        <v>16</v>
      </c>
      <c r="D60" s="3">
        <v>44298</v>
      </c>
      <c r="E60" s="1">
        <v>44298.545219907406</v>
      </c>
      <c r="F60" t="s">
        <v>17</v>
      </c>
      <c r="G60" t="s">
        <v>45</v>
      </c>
      <c r="H60" s="1">
        <v>44298.53125</v>
      </c>
      <c r="I60" s="1">
        <v>44298.666666666664</v>
      </c>
      <c r="J60" s="4">
        <f t="shared" si="0"/>
        <v>0.13541666666424135</v>
      </c>
      <c r="K60" t="s">
        <v>195</v>
      </c>
      <c r="M60">
        <v>2</v>
      </c>
      <c r="N60" s="6">
        <v>0</v>
      </c>
      <c r="Q60" s="2" t="s">
        <v>19</v>
      </c>
    </row>
    <row r="61" spans="1:17" ht="68" x14ac:dyDescent="0.2">
      <c r="A61" t="s">
        <v>189</v>
      </c>
      <c r="B61" t="s">
        <v>15</v>
      </c>
      <c r="C61" t="s">
        <v>16</v>
      </c>
      <c r="D61" s="3">
        <v>44298</v>
      </c>
      <c r="E61" s="1">
        <v>44298.660925925928</v>
      </c>
      <c r="F61" t="s">
        <v>17</v>
      </c>
      <c r="G61" t="s">
        <v>45</v>
      </c>
      <c r="H61" s="1">
        <v>44298.53125</v>
      </c>
      <c r="I61" s="1">
        <v>44298.666666666664</v>
      </c>
      <c r="J61" s="4">
        <f t="shared" si="0"/>
        <v>0.13541666666424135</v>
      </c>
      <c r="K61" t="s">
        <v>195</v>
      </c>
      <c r="M61">
        <v>0</v>
      </c>
      <c r="N61" s="6">
        <v>0</v>
      </c>
      <c r="Q61" s="2" t="s">
        <v>19</v>
      </c>
    </row>
    <row r="62" spans="1:17" ht="68" x14ac:dyDescent="0.2">
      <c r="A62" t="s">
        <v>189</v>
      </c>
      <c r="B62" t="s">
        <v>15</v>
      </c>
      <c r="C62" t="s">
        <v>16</v>
      </c>
      <c r="D62" s="3">
        <v>44299</v>
      </c>
      <c r="E62" s="1">
        <v>44299.488483796296</v>
      </c>
      <c r="F62" t="s">
        <v>17</v>
      </c>
      <c r="G62" t="s">
        <v>47</v>
      </c>
      <c r="H62" s="1">
        <v>44299.375</v>
      </c>
      <c r="I62" s="1">
        <v>44299.510416666664</v>
      </c>
      <c r="J62" s="4">
        <f t="shared" si="0"/>
        <v>0.13541666666424135</v>
      </c>
      <c r="K62" t="s">
        <v>192</v>
      </c>
      <c r="M62">
        <v>0</v>
      </c>
      <c r="N62" s="6">
        <v>0</v>
      </c>
      <c r="Q62" s="2" t="s">
        <v>19</v>
      </c>
    </row>
    <row r="63" spans="1:17" ht="68" x14ac:dyDescent="0.2">
      <c r="A63" t="s">
        <v>189</v>
      </c>
      <c r="B63" t="s">
        <v>15</v>
      </c>
      <c r="C63" t="s">
        <v>16</v>
      </c>
      <c r="D63" s="3">
        <v>44299</v>
      </c>
      <c r="E63" s="1">
        <v>44299.633946759262</v>
      </c>
      <c r="F63" t="s">
        <v>17</v>
      </c>
      <c r="G63" t="s">
        <v>48</v>
      </c>
      <c r="H63" s="1">
        <v>44299.53125</v>
      </c>
      <c r="I63" s="1">
        <v>44299.635416666664</v>
      </c>
      <c r="J63" s="4">
        <f t="shared" si="0"/>
        <v>0.10416666666424135</v>
      </c>
      <c r="K63" t="s">
        <v>192</v>
      </c>
      <c r="M63">
        <v>0</v>
      </c>
      <c r="N63" s="6">
        <v>0</v>
      </c>
      <c r="Q63" s="2" t="s">
        <v>19</v>
      </c>
    </row>
    <row r="64" spans="1:17" ht="68" x14ac:dyDescent="0.2">
      <c r="A64" t="s">
        <v>189</v>
      </c>
      <c r="B64" t="s">
        <v>15</v>
      </c>
      <c r="C64" t="s">
        <v>16</v>
      </c>
      <c r="D64" s="3">
        <v>44299</v>
      </c>
      <c r="E64" s="1">
        <v>44299.667407407411</v>
      </c>
      <c r="F64" t="s">
        <v>17</v>
      </c>
      <c r="G64" t="s">
        <v>49</v>
      </c>
      <c r="H64" s="1">
        <v>44299.63958333333</v>
      </c>
      <c r="I64" s="1">
        <v>44299.666666666664</v>
      </c>
      <c r="J64" s="4">
        <f t="shared" si="0"/>
        <v>2.7083333334303461E-2</v>
      </c>
      <c r="K64" t="s">
        <v>196</v>
      </c>
      <c r="M64">
        <v>0</v>
      </c>
      <c r="N64" s="6">
        <v>0</v>
      </c>
      <c r="Q64" s="2" t="s">
        <v>19</v>
      </c>
    </row>
    <row r="65" spans="1:17" ht="68" x14ac:dyDescent="0.2">
      <c r="A65" t="s">
        <v>189</v>
      </c>
      <c r="B65" t="s">
        <v>15</v>
      </c>
      <c r="C65" t="s">
        <v>16</v>
      </c>
      <c r="D65" s="3">
        <v>44300</v>
      </c>
      <c r="E65" s="1">
        <v>44300.490393518521</v>
      </c>
      <c r="F65" t="s">
        <v>17</v>
      </c>
      <c r="G65" t="s">
        <v>50</v>
      </c>
      <c r="H65" s="1">
        <v>44300.375</v>
      </c>
      <c r="I65" s="1">
        <v>44300.489583333336</v>
      </c>
      <c r="J65" s="4">
        <f t="shared" si="0"/>
        <v>0.11458333333575865</v>
      </c>
      <c r="K65" t="s">
        <v>197</v>
      </c>
      <c r="M65">
        <v>0</v>
      </c>
      <c r="N65" s="6">
        <v>0</v>
      </c>
      <c r="Q65" s="2" t="s">
        <v>19</v>
      </c>
    </row>
    <row r="66" spans="1:17" ht="68" x14ac:dyDescent="0.2">
      <c r="A66" t="s">
        <v>189</v>
      </c>
      <c r="B66" t="s">
        <v>15</v>
      </c>
      <c r="C66" t="s">
        <v>16</v>
      </c>
      <c r="D66" s="3">
        <v>44300</v>
      </c>
      <c r="E66" s="1">
        <v>44300.669409722221</v>
      </c>
      <c r="F66" t="s">
        <v>17</v>
      </c>
      <c r="G66" t="s">
        <v>51</v>
      </c>
      <c r="H66" s="1">
        <v>44300.552083333336</v>
      </c>
      <c r="I66" s="1">
        <v>44300.666666666664</v>
      </c>
      <c r="J66" s="4">
        <f t="shared" si="0"/>
        <v>0.11458333332848269</v>
      </c>
      <c r="K66" t="s">
        <v>198</v>
      </c>
      <c r="M66">
        <v>0</v>
      </c>
      <c r="N66" s="6">
        <v>0</v>
      </c>
      <c r="Q66" s="2" t="s">
        <v>19</v>
      </c>
    </row>
    <row r="67" spans="1:17" ht="68" x14ac:dyDescent="0.2">
      <c r="A67" t="s">
        <v>189</v>
      </c>
      <c r="B67" t="s">
        <v>15</v>
      </c>
      <c r="C67" t="s">
        <v>16</v>
      </c>
      <c r="D67" s="3">
        <v>44301</v>
      </c>
      <c r="E67" s="1">
        <v>44301.38958333333</v>
      </c>
      <c r="F67" t="s">
        <v>17</v>
      </c>
      <c r="G67" t="s">
        <v>52</v>
      </c>
      <c r="H67" s="1">
        <v>44301.375</v>
      </c>
      <c r="I67" s="1">
        <v>44301.510416666664</v>
      </c>
      <c r="J67" s="4">
        <f t="shared" ref="J67:J130" si="1">IF($I67="","",$I67-$H67)</f>
        <v>0.13541666666424135</v>
      </c>
      <c r="K67" t="s">
        <v>192</v>
      </c>
      <c r="M67">
        <v>2</v>
      </c>
      <c r="N67" s="6">
        <v>0</v>
      </c>
      <c r="Q67" s="2" t="s">
        <v>19</v>
      </c>
    </row>
    <row r="68" spans="1:17" ht="68" x14ac:dyDescent="0.2">
      <c r="A68" t="s">
        <v>189</v>
      </c>
      <c r="B68" t="s">
        <v>15</v>
      </c>
      <c r="C68" t="s">
        <v>16</v>
      </c>
      <c r="D68" s="3">
        <v>44301</v>
      </c>
      <c r="E68" s="1">
        <v>44301.663854166669</v>
      </c>
      <c r="F68" t="s">
        <v>17</v>
      </c>
      <c r="G68" t="s">
        <v>37</v>
      </c>
      <c r="H68" s="1">
        <v>44301.53125</v>
      </c>
      <c r="I68" s="1">
        <v>44301.666666666664</v>
      </c>
      <c r="J68" s="4">
        <f t="shared" si="1"/>
        <v>0.13541666666424135</v>
      </c>
      <c r="K68" t="s">
        <v>192</v>
      </c>
      <c r="M68">
        <v>0</v>
      </c>
      <c r="N68" s="6">
        <v>0</v>
      </c>
      <c r="Q68" s="2" t="s">
        <v>19</v>
      </c>
    </row>
    <row r="69" spans="1:17" ht="68" x14ac:dyDescent="0.2">
      <c r="A69" t="s">
        <v>189</v>
      </c>
      <c r="B69" t="s">
        <v>15</v>
      </c>
      <c r="C69" t="s">
        <v>16</v>
      </c>
      <c r="D69" s="3">
        <v>44302</v>
      </c>
      <c r="E69" s="1">
        <v>44302.486793981479</v>
      </c>
      <c r="F69" t="s">
        <v>17</v>
      </c>
      <c r="G69" t="s">
        <v>53</v>
      </c>
      <c r="H69" s="1">
        <v>44302.395833333336</v>
      </c>
      <c r="I69" s="1">
        <v>44302.489583333336</v>
      </c>
      <c r="J69" s="4">
        <f t="shared" si="1"/>
        <v>9.375E-2</v>
      </c>
      <c r="K69" t="s">
        <v>199</v>
      </c>
      <c r="M69">
        <v>0</v>
      </c>
      <c r="N69" s="6">
        <v>0</v>
      </c>
      <c r="Q69" s="2" t="s">
        <v>19</v>
      </c>
    </row>
    <row r="70" spans="1:17" ht="68" x14ac:dyDescent="0.2">
      <c r="A70" t="s">
        <v>189</v>
      </c>
      <c r="B70" t="s">
        <v>15</v>
      </c>
      <c r="C70" t="s">
        <v>16</v>
      </c>
      <c r="D70" s="3">
        <v>44302</v>
      </c>
      <c r="E70" s="1">
        <v>44302.657939814817</v>
      </c>
      <c r="F70" t="s">
        <v>17</v>
      </c>
      <c r="G70" t="s">
        <v>54</v>
      </c>
      <c r="H70" s="1">
        <v>44302.53125</v>
      </c>
      <c r="I70" s="1">
        <v>44302.666666666664</v>
      </c>
      <c r="J70" s="4">
        <f t="shared" si="1"/>
        <v>0.13541666666424135</v>
      </c>
      <c r="K70" t="s">
        <v>195</v>
      </c>
      <c r="M70">
        <v>1</v>
      </c>
      <c r="N70" s="6">
        <v>0</v>
      </c>
      <c r="Q70" s="2" t="s">
        <v>19</v>
      </c>
    </row>
    <row r="71" spans="1:17" ht="68" x14ac:dyDescent="0.2">
      <c r="A71" t="s">
        <v>189</v>
      </c>
      <c r="B71" t="s">
        <v>15</v>
      </c>
      <c r="C71" t="s">
        <v>16</v>
      </c>
      <c r="D71" s="3">
        <v>44307</v>
      </c>
      <c r="E71" s="1">
        <v>44307.488981481481</v>
      </c>
      <c r="F71" t="s">
        <v>17</v>
      </c>
      <c r="G71" t="s">
        <v>36</v>
      </c>
      <c r="H71" s="1">
        <v>44307.375</v>
      </c>
      <c r="I71" s="1">
        <v>44307.489583333336</v>
      </c>
      <c r="J71" s="4">
        <f t="shared" si="1"/>
        <v>0.11458333333575865</v>
      </c>
      <c r="K71" t="s">
        <v>197</v>
      </c>
      <c r="M71">
        <v>0</v>
      </c>
      <c r="N71" s="6">
        <v>0</v>
      </c>
      <c r="Q71" s="2" t="s">
        <v>19</v>
      </c>
    </row>
    <row r="72" spans="1:17" ht="68" x14ac:dyDescent="0.2">
      <c r="A72" t="s">
        <v>189</v>
      </c>
      <c r="B72" t="s">
        <v>15</v>
      </c>
      <c r="C72" t="s">
        <v>16</v>
      </c>
      <c r="D72" s="3">
        <v>44307</v>
      </c>
      <c r="E72" s="1">
        <v>44307.650949074072</v>
      </c>
      <c r="F72" t="s">
        <v>17</v>
      </c>
      <c r="G72" t="s">
        <v>37</v>
      </c>
      <c r="H72" s="1">
        <v>44307.53125</v>
      </c>
      <c r="I72" s="1">
        <v>44307.666666666664</v>
      </c>
      <c r="J72" s="4">
        <f t="shared" si="1"/>
        <v>0.13541666666424135</v>
      </c>
      <c r="K72" t="s">
        <v>195</v>
      </c>
      <c r="M72">
        <v>0</v>
      </c>
      <c r="N72" s="6">
        <v>0</v>
      </c>
      <c r="Q72" s="2" t="s">
        <v>19</v>
      </c>
    </row>
    <row r="73" spans="1:17" ht="68" x14ac:dyDescent="0.2">
      <c r="A73" t="s">
        <v>189</v>
      </c>
      <c r="B73" t="s">
        <v>15</v>
      </c>
      <c r="C73" t="s">
        <v>16</v>
      </c>
      <c r="D73" s="3">
        <v>44308</v>
      </c>
      <c r="E73" s="1">
        <v>44308.504016203704</v>
      </c>
      <c r="F73" t="s">
        <v>17</v>
      </c>
      <c r="G73" t="s">
        <v>55</v>
      </c>
      <c r="H73" s="1">
        <v>44308.375</v>
      </c>
      <c r="I73" s="1">
        <v>44308.510416666664</v>
      </c>
      <c r="J73" s="4">
        <f t="shared" si="1"/>
        <v>0.13541666666424135</v>
      </c>
      <c r="K73" t="s">
        <v>200</v>
      </c>
      <c r="M73">
        <v>0</v>
      </c>
      <c r="N73" s="6">
        <v>0</v>
      </c>
      <c r="Q73" s="2" t="s">
        <v>19</v>
      </c>
    </row>
    <row r="74" spans="1:17" ht="68" x14ac:dyDescent="0.2">
      <c r="A74" t="s">
        <v>189</v>
      </c>
      <c r="B74" t="s">
        <v>15</v>
      </c>
      <c r="C74" t="s">
        <v>16</v>
      </c>
      <c r="D74" s="3">
        <v>44308</v>
      </c>
      <c r="E74" s="1">
        <v>44308.589918981481</v>
      </c>
      <c r="F74" t="s">
        <v>17</v>
      </c>
      <c r="G74" t="s">
        <v>56</v>
      </c>
      <c r="H74" s="1">
        <v>44308.541666666664</v>
      </c>
      <c r="I74" s="1">
        <v>44308.666666666664</v>
      </c>
      <c r="J74" s="4">
        <f t="shared" si="1"/>
        <v>0.125</v>
      </c>
      <c r="K74" t="s">
        <v>192</v>
      </c>
      <c r="M74">
        <v>2</v>
      </c>
      <c r="N74" s="6">
        <v>0</v>
      </c>
      <c r="Q74" s="2" t="s">
        <v>19</v>
      </c>
    </row>
    <row r="75" spans="1:17" ht="68" x14ac:dyDescent="0.2">
      <c r="A75" t="s">
        <v>189</v>
      </c>
      <c r="B75" t="s">
        <v>15</v>
      </c>
      <c r="C75" t="s">
        <v>16</v>
      </c>
      <c r="D75" s="3">
        <v>44312</v>
      </c>
      <c r="E75" s="1">
        <v>44312.509201388886</v>
      </c>
      <c r="F75" t="s">
        <v>17</v>
      </c>
      <c r="G75" t="s">
        <v>44</v>
      </c>
      <c r="H75" s="1">
        <v>44312.375</v>
      </c>
      <c r="I75" s="1">
        <v>44312.510416666664</v>
      </c>
      <c r="J75" s="4">
        <f t="shared" si="1"/>
        <v>0.13541666666424135</v>
      </c>
      <c r="K75" t="s">
        <v>201</v>
      </c>
      <c r="M75">
        <v>3</v>
      </c>
      <c r="N75" s="6">
        <v>0</v>
      </c>
      <c r="Q75" s="2" t="s">
        <v>19</v>
      </c>
    </row>
    <row r="76" spans="1:17" ht="68" x14ac:dyDescent="0.2">
      <c r="A76" t="s">
        <v>189</v>
      </c>
      <c r="B76" t="s">
        <v>15</v>
      </c>
      <c r="C76" t="s">
        <v>16</v>
      </c>
      <c r="D76" s="3">
        <v>44312</v>
      </c>
      <c r="E76" s="1">
        <v>44312.649895833332</v>
      </c>
      <c r="F76" t="s">
        <v>17</v>
      </c>
      <c r="G76" t="s">
        <v>57</v>
      </c>
      <c r="H76" s="1">
        <v>44312.53125</v>
      </c>
      <c r="I76" s="1">
        <v>44312.666666666664</v>
      </c>
      <c r="J76" s="4">
        <f t="shared" si="1"/>
        <v>0.13541666666424135</v>
      </c>
      <c r="K76" t="s">
        <v>195</v>
      </c>
      <c r="M76">
        <v>2</v>
      </c>
      <c r="N76" s="6">
        <v>0</v>
      </c>
      <c r="Q76" s="2" t="s">
        <v>19</v>
      </c>
    </row>
    <row r="77" spans="1:17" ht="68" x14ac:dyDescent="0.2">
      <c r="A77" t="s">
        <v>189</v>
      </c>
      <c r="B77" t="s">
        <v>15</v>
      </c>
      <c r="C77" t="s">
        <v>16</v>
      </c>
      <c r="D77" s="3">
        <v>44313</v>
      </c>
      <c r="E77" s="1">
        <v>44313.488171296296</v>
      </c>
      <c r="F77" t="s">
        <v>17</v>
      </c>
      <c r="G77" t="s">
        <v>55</v>
      </c>
      <c r="H77" s="1">
        <v>44313.375</v>
      </c>
      <c r="I77" s="1">
        <v>44313.489583333336</v>
      </c>
      <c r="J77" s="4">
        <f t="shared" si="1"/>
        <v>0.11458333333575865</v>
      </c>
      <c r="K77" t="s">
        <v>200</v>
      </c>
      <c r="M77">
        <v>28</v>
      </c>
      <c r="N77" s="6">
        <v>0</v>
      </c>
      <c r="Q77" s="2" t="s">
        <v>19</v>
      </c>
    </row>
    <row r="78" spans="1:17" ht="68" x14ac:dyDescent="0.2">
      <c r="A78" t="s">
        <v>189</v>
      </c>
      <c r="B78" t="s">
        <v>15</v>
      </c>
      <c r="C78" t="s">
        <v>16</v>
      </c>
      <c r="D78" s="3">
        <v>44313</v>
      </c>
      <c r="E78" s="1">
        <v>44313.539444444446</v>
      </c>
      <c r="F78" t="s">
        <v>17</v>
      </c>
      <c r="G78" t="s">
        <v>37</v>
      </c>
      <c r="H78" s="1">
        <v>44313.53125</v>
      </c>
      <c r="I78" s="1">
        <v>44313.541666666664</v>
      </c>
      <c r="J78" s="4">
        <f t="shared" si="1"/>
        <v>1.0416666664241347E-2</v>
      </c>
      <c r="K78" t="s">
        <v>202</v>
      </c>
      <c r="M78">
        <v>0</v>
      </c>
      <c r="N78" s="6">
        <v>0</v>
      </c>
      <c r="Q78" s="2" t="s">
        <v>19</v>
      </c>
    </row>
    <row r="79" spans="1:17" ht="68" x14ac:dyDescent="0.2">
      <c r="A79" t="s">
        <v>189</v>
      </c>
      <c r="B79" t="s">
        <v>15</v>
      </c>
      <c r="C79" t="s">
        <v>16</v>
      </c>
      <c r="D79" s="3">
        <v>44313</v>
      </c>
      <c r="E79" s="1">
        <v>44313.664664351854</v>
      </c>
      <c r="F79" t="s">
        <v>17</v>
      </c>
      <c r="G79" t="s">
        <v>58</v>
      </c>
      <c r="H79" s="1">
        <v>44313.541666666664</v>
      </c>
      <c r="I79" s="1">
        <v>44313.666666666664</v>
      </c>
      <c r="J79" s="4">
        <f t="shared" si="1"/>
        <v>0.125</v>
      </c>
      <c r="K79" t="s">
        <v>192</v>
      </c>
      <c r="M79">
        <v>0</v>
      </c>
      <c r="N79" s="6">
        <v>0</v>
      </c>
      <c r="Q79" s="2" t="s">
        <v>19</v>
      </c>
    </row>
    <row r="80" spans="1:17" ht="68" x14ac:dyDescent="0.2">
      <c r="A80" t="s">
        <v>189</v>
      </c>
      <c r="B80" t="s">
        <v>15</v>
      </c>
      <c r="C80" t="s">
        <v>16</v>
      </c>
      <c r="D80" s="3">
        <v>44314</v>
      </c>
      <c r="E80" s="1">
        <v>44314.492291666669</v>
      </c>
      <c r="F80" t="s">
        <v>17</v>
      </c>
      <c r="G80" t="s">
        <v>53</v>
      </c>
      <c r="H80" s="1">
        <v>44314.375</v>
      </c>
      <c r="I80" s="1">
        <v>44314.489583333336</v>
      </c>
      <c r="J80" s="4">
        <f t="shared" si="1"/>
        <v>0.11458333333575865</v>
      </c>
      <c r="K80" t="s">
        <v>203</v>
      </c>
      <c r="M80">
        <v>0</v>
      </c>
      <c r="N80" s="6">
        <v>0</v>
      </c>
      <c r="Q80" s="2" t="s">
        <v>19</v>
      </c>
    </row>
    <row r="81" spans="1:17" ht="68" x14ac:dyDescent="0.2">
      <c r="A81" t="s">
        <v>189</v>
      </c>
      <c r="B81" t="s">
        <v>15</v>
      </c>
      <c r="C81" t="s">
        <v>16</v>
      </c>
      <c r="D81" s="3">
        <v>44314</v>
      </c>
      <c r="E81" s="1">
        <v>44314.497303240743</v>
      </c>
      <c r="F81" t="s">
        <v>17</v>
      </c>
      <c r="G81" t="s">
        <v>53</v>
      </c>
      <c r="H81" s="1">
        <v>44314.375</v>
      </c>
      <c r="I81" s="1">
        <v>44314.489583333336</v>
      </c>
      <c r="J81" s="4">
        <f t="shared" si="1"/>
        <v>0.11458333333575865</v>
      </c>
      <c r="K81" t="s">
        <v>203</v>
      </c>
      <c r="M81">
        <v>0</v>
      </c>
      <c r="N81" s="6">
        <v>0</v>
      </c>
      <c r="Q81" s="2" t="s">
        <v>19</v>
      </c>
    </row>
    <row r="82" spans="1:17" ht="68" x14ac:dyDescent="0.2">
      <c r="A82" t="s">
        <v>189</v>
      </c>
      <c r="B82" t="s">
        <v>15</v>
      </c>
      <c r="C82" t="s">
        <v>16</v>
      </c>
      <c r="D82" s="3">
        <v>44314</v>
      </c>
      <c r="E82" s="1">
        <v>44314.652569444443</v>
      </c>
      <c r="F82" t="s">
        <v>17</v>
      </c>
      <c r="G82" t="s">
        <v>59</v>
      </c>
      <c r="H82" s="1">
        <v>44314.53125</v>
      </c>
      <c r="I82" s="1">
        <v>44314.666666666664</v>
      </c>
      <c r="J82" s="4">
        <f t="shared" si="1"/>
        <v>0.13541666666424135</v>
      </c>
      <c r="K82" t="s">
        <v>195</v>
      </c>
      <c r="M82">
        <v>0</v>
      </c>
      <c r="N82" s="6">
        <v>0</v>
      </c>
      <c r="Q82" s="2" t="s">
        <v>19</v>
      </c>
    </row>
    <row r="83" spans="1:17" ht="68" x14ac:dyDescent="0.2">
      <c r="A83" t="s">
        <v>189</v>
      </c>
      <c r="B83" t="s">
        <v>15</v>
      </c>
      <c r="C83" t="s">
        <v>16</v>
      </c>
      <c r="D83" s="3">
        <v>44315</v>
      </c>
      <c r="E83" s="1">
        <v>44315.484618055554</v>
      </c>
      <c r="F83" t="s">
        <v>17</v>
      </c>
      <c r="G83" t="s">
        <v>43</v>
      </c>
      <c r="H83" s="1">
        <v>44315.375</v>
      </c>
      <c r="I83" s="1">
        <v>44315.489583333336</v>
      </c>
      <c r="J83" s="4">
        <f t="shared" si="1"/>
        <v>0.11458333333575865</v>
      </c>
      <c r="K83" t="s">
        <v>200</v>
      </c>
      <c r="M83">
        <v>1</v>
      </c>
      <c r="N83" s="6">
        <v>0</v>
      </c>
      <c r="Q83" s="2" t="s">
        <v>19</v>
      </c>
    </row>
    <row r="84" spans="1:17" ht="68" x14ac:dyDescent="0.2">
      <c r="A84" t="s">
        <v>189</v>
      </c>
      <c r="B84" t="s">
        <v>15</v>
      </c>
      <c r="C84" t="s">
        <v>16</v>
      </c>
      <c r="D84" s="3">
        <v>44315</v>
      </c>
      <c r="E84" s="1">
        <v>44315.54241898148</v>
      </c>
      <c r="F84" t="s">
        <v>17</v>
      </c>
      <c r="G84" t="s">
        <v>35</v>
      </c>
      <c r="H84" s="1">
        <v>44315.53125</v>
      </c>
      <c r="I84" s="1">
        <v>44315.541666666664</v>
      </c>
      <c r="J84" s="4">
        <f t="shared" si="1"/>
        <v>1.0416666664241347E-2</v>
      </c>
      <c r="K84" t="s">
        <v>202</v>
      </c>
      <c r="M84">
        <v>0</v>
      </c>
      <c r="N84" s="6">
        <v>0</v>
      </c>
      <c r="Q84" s="2" t="s">
        <v>19</v>
      </c>
    </row>
    <row r="85" spans="1:17" ht="68" x14ac:dyDescent="0.2">
      <c r="A85" t="s">
        <v>189</v>
      </c>
      <c r="B85" t="s">
        <v>15</v>
      </c>
      <c r="C85" t="s">
        <v>16</v>
      </c>
      <c r="D85" s="3">
        <v>44315</v>
      </c>
      <c r="E85" s="1">
        <v>44315.558796296296</v>
      </c>
      <c r="F85" t="s">
        <v>17</v>
      </c>
      <c r="G85" t="s">
        <v>60</v>
      </c>
      <c r="H85" s="1">
        <v>44315.541666666664</v>
      </c>
      <c r="I85" s="1">
        <v>44315.666666666664</v>
      </c>
      <c r="J85" s="4">
        <f t="shared" si="1"/>
        <v>0.125</v>
      </c>
      <c r="K85" t="s">
        <v>192</v>
      </c>
      <c r="M85">
        <v>1</v>
      </c>
      <c r="N85" s="6">
        <v>0</v>
      </c>
      <c r="Q85" s="2" t="s">
        <v>19</v>
      </c>
    </row>
    <row r="86" spans="1:17" ht="68" x14ac:dyDescent="0.2">
      <c r="A86" t="s">
        <v>189</v>
      </c>
      <c r="B86" t="s">
        <v>15</v>
      </c>
      <c r="C86" t="s">
        <v>16</v>
      </c>
      <c r="D86" s="3">
        <v>44316</v>
      </c>
      <c r="E86" s="1">
        <v>44316.500844907408</v>
      </c>
      <c r="F86" t="s">
        <v>17</v>
      </c>
      <c r="G86" t="s">
        <v>61</v>
      </c>
      <c r="H86" s="1">
        <v>44316.375</v>
      </c>
      <c r="I86" s="1">
        <v>44316.489583333336</v>
      </c>
      <c r="J86" s="4">
        <f t="shared" si="1"/>
        <v>0.11458333333575865</v>
      </c>
      <c r="K86" t="s">
        <v>204</v>
      </c>
      <c r="M86">
        <v>0</v>
      </c>
      <c r="N86" s="6">
        <v>0</v>
      </c>
      <c r="Q86" s="2" t="s">
        <v>19</v>
      </c>
    </row>
    <row r="87" spans="1:17" ht="68" x14ac:dyDescent="0.2">
      <c r="A87" t="s">
        <v>189</v>
      </c>
      <c r="B87" t="s">
        <v>15</v>
      </c>
      <c r="C87" t="s">
        <v>16</v>
      </c>
      <c r="D87" s="3">
        <v>44316</v>
      </c>
      <c r="E87" s="1">
        <v>44316.616944444446</v>
      </c>
      <c r="F87" t="s">
        <v>17</v>
      </c>
      <c r="G87" t="s">
        <v>62</v>
      </c>
      <c r="H87" s="1">
        <v>44316.510416666664</v>
      </c>
      <c r="I87" s="1">
        <v>44316.65625</v>
      </c>
      <c r="J87" s="4">
        <f t="shared" si="1"/>
        <v>0.14583333333575865</v>
      </c>
      <c r="K87" t="s">
        <v>195</v>
      </c>
      <c r="M87">
        <v>0</v>
      </c>
      <c r="N87" s="6">
        <v>0</v>
      </c>
      <c r="Q87" s="2" t="s">
        <v>19</v>
      </c>
    </row>
    <row r="88" spans="1:17" ht="68" x14ac:dyDescent="0.2">
      <c r="A88" t="s">
        <v>189</v>
      </c>
      <c r="B88" t="s">
        <v>15</v>
      </c>
      <c r="C88" t="s">
        <v>16</v>
      </c>
      <c r="D88" s="3">
        <v>44319</v>
      </c>
      <c r="E88" s="1">
        <v>44319.483807870369</v>
      </c>
      <c r="F88" t="s">
        <v>17</v>
      </c>
      <c r="G88" t="s">
        <v>63</v>
      </c>
      <c r="H88" s="1">
        <v>44319.385416666664</v>
      </c>
      <c r="I88" s="1">
        <v>44319.489583333336</v>
      </c>
      <c r="J88" s="4">
        <f t="shared" si="1"/>
        <v>0.10416666667151731</v>
      </c>
      <c r="K88" t="s">
        <v>199</v>
      </c>
      <c r="M88">
        <v>0</v>
      </c>
      <c r="N88" s="6">
        <v>0</v>
      </c>
      <c r="Q88" s="2" t="s">
        <v>19</v>
      </c>
    </row>
    <row r="89" spans="1:17" ht="68" x14ac:dyDescent="0.2">
      <c r="A89" t="s">
        <v>189</v>
      </c>
      <c r="B89" t="s">
        <v>15</v>
      </c>
      <c r="C89" t="s">
        <v>16</v>
      </c>
      <c r="D89" s="3">
        <v>44319</v>
      </c>
      <c r="E89" s="1">
        <v>44319.654629629629</v>
      </c>
      <c r="F89" t="s">
        <v>17</v>
      </c>
      <c r="G89" t="s">
        <v>45</v>
      </c>
      <c r="H89" s="1">
        <v>44319.53125</v>
      </c>
      <c r="I89" s="1">
        <v>44319.666666666664</v>
      </c>
      <c r="J89" s="4">
        <f t="shared" si="1"/>
        <v>0.13541666666424135</v>
      </c>
      <c r="K89" t="s">
        <v>195</v>
      </c>
      <c r="M89">
        <v>6</v>
      </c>
      <c r="N89" s="6">
        <v>0</v>
      </c>
      <c r="Q89" s="2" t="s">
        <v>19</v>
      </c>
    </row>
    <row r="90" spans="1:17" ht="68" x14ac:dyDescent="0.2">
      <c r="A90" t="s">
        <v>189</v>
      </c>
      <c r="B90" t="s">
        <v>15</v>
      </c>
      <c r="C90" t="s">
        <v>16</v>
      </c>
      <c r="D90" s="3">
        <v>44320</v>
      </c>
      <c r="E90" s="1">
        <v>44320.487083333333</v>
      </c>
      <c r="F90" t="s">
        <v>17</v>
      </c>
      <c r="G90" t="s">
        <v>64</v>
      </c>
      <c r="H90" s="1">
        <v>44320.380555555559</v>
      </c>
      <c r="I90" s="1">
        <v>44320.492361111108</v>
      </c>
      <c r="J90" s="4">
        <f t="shared" si="1"/>
        <v>0.11180555554892635</v>
      </c>
      <c r="K90" t="s">
        <v>205</v>
      </c>
      <c r="M90">
        <v>1</v>
      </c>
      <c r="N90" s="6">
        <v>0</v>
      </c>
      <c r="Q90" s="2" t="s">
        <v>19</v>
      </c>
    </row>
    <row r="91" spans="1:17" ht="68" x14ac:dyDescent="0.2">
      <c r="A91" t="s">
        <v>189</v>
      </c>
      <c r="B91" t="s">
        <v>15</v>
      </c>
      <c r="C91" t="s">
        <v>16</v>
      </c>
      <c r="D91" s="3">
        <v>44320</v>
      </c>
      <c r="E91" s="1">
        <v>44320.606921296298</v>
      </c>
      <c r="F91" t="s">
        <v>17</v>
      </c>
      <c r="G91" t="s">
        <v>65</v>
      </c>
      <c r="H91" s="1">
        <v>44320.541666666664</v>
      </c>
      <c r="I91" s="1">
        <v>44320.645833333336</v>
      </c>
      <c r="J91" s="4">
        <f t="shared" si="1"/>
        <v>0.10416666667151731</v>
      </c>
      <c r="K91" t="s">
        <v>192</v>
      </c>
      <c r="M91">
        <v>1</v>
      </c>
      <c r="N91" s="6">
        <v>0</v>
      </c>
      <c r="Q91" s="2" t="s">
        <v>19</v>
      </c>
    </row>
    <row r="92" spans="1:17" ht="68" x14ac:dyDescent="0.2">
      <c r="A92" t="s">
        <v>189</v>
      </c>
      <c r="B92" t="s">
        <v>15</v>
      </c>
      <c r="C92" t="s">
        <v>16</v>
      </c>
      <c r="D92" s="3">
        <v>44321</v>
      </c>
      <c r="E92" s="1">
        <v>44321.466238425928</v>
      </c>
      <c r="F92" t="s">
        <v>17</v>
      </c>
      <c r="G92" t="s">
        <v>36</v>
      </c>
      <c r="H92" s="1">
        <v>44321.395833333336</v>
      </c>
      <c r="I92" s="1">
        <v>44321.489583333336</v>
      </c>
      <c r="J92" s="4">
        <f t="shared" si="1"/>
        <v>9.375E-2</v>
      </c>
      <c r="K92" t="s">
        <v>206</v>
      </c>
      <c r="M92">
        <v>7</v>
      </c>
      <c r="N92" s="6">
        <v>0</v>
      </c>
      <c r="Q92" s="2" t="s">
        <v>19</v>
      </c>
    </row>
    <row r="93" spans="1:17" ht="68" x14ac:dyDescent="0.2">
      <c r="A93" t="s">
        <v>189</v>
      </c>
      <c r="B93" t="s">
        <v>15</v>
      </c>
      <c r="C93" t="s">
        <v>16</v>
      </c>
      <c r="D93" s="3">
        <v>44321</v>
      </c>
      <c r="E93" s="1">
        <v>44321.645405092589</v>
      </c>
      <c r="F93" t="s">
        <v>17</v>
      </c>
      <c r="G93" t="s">
        <v>66</v>
      </c>
      <c r="H93" s="1">
        <v>44321.510416666664</v>
      </c>
      <c r="I93" s="1">
        <v>44321.666666666664</v>
      </c>
      <c r="J93" s="4">
        <f t="shared" si="1"/>
        <v>0.15625</v>
      </c>
      <c r="K93" t="s">
        <v>195</v>
      </c>
      <c r="M93">
        <v>0</v>
      </c>
      <c r="N93" s="6">
        <v>0</v>
      </c>
      <c r="Q93" s="2" t="s">
        <v>19</v>
      </c>
    </row>
    <row r="94" spans="1:17" ht="68" x14ac:dyDescent="0.2">
      <c r="A94" t="s">
        <v>189</v>
      </c>
      <c r="B94" t="s">
        <v>15</v>
      </c>
      <c r="C94" t="s">
        <v>16</v>
      </c>
      <c r="D94" s="3">
        <v>44323</v>
      </c>
      <c r="E94" s="1">
        <v>44323.379189814812</v>
      </c>
      <c r="F94" t="s">
        <v>17</v>
      </c>
      <c r="G94" t="s">
        <v>61</v>
      </c>
      <c r="H94" s="1">
        <v>44323.375</v>
      </c>
      <c r="I94" s="1">
        <v>44323.489583333336</v>
      </c>
      <c r="J94" s="4">
        <f t="shared" si="1"/>
        <v>0.11458333333575865</v>
      </c>
      <c r="K94" t="s">
        <v>206</v>
      </c>
      <c r="M94">
        <v>3</v>
      </c>
      <c r="N94" s="6">
        <v>0</v>
      </c>
      <c r="Q94" s="2" t="s">
        <v>19</v>
      </c>
    </row>
    <row r="95" spans="1:17" ht="68" x14ac:dyDescent="0.2">
      <c r="A95" t="s">
        <v>189</v>
      </c>
      <c r="B95" t="s">
        <v>15</v>
      </c>
      <c r="C95" t="s">
        <v>16</v>
      </c>
      <c r="D95" s="3">
        <v>44323</v>
      </c>
      <c r="E95" s="1">
        <v>44323.662430555552</v>
      </c>
      <c r="F95" t="s">
        <v>17</v>
      </c>
      <c r="G95" t="s">
        <v>67</v>
      </c>
      <c r="H95" s="1">
        <v>44323.510416666664</v>
      </c>
      <c r="I95" s="1">
        <v>44323.666666666664</v>
      </c>
      <c r="J95" s="4">
        <f t="shared" si="1"/>
        <v>0.15625</v>
      </c>
      <c r="K95" t="s">
        <v>207</v>
      </c>
      <c r="M95">
        <v>2</v>
      </c>
      <c r="N95" s="6">
        <v>0</v>
      </c>
      <c r="Q95" s="2" t="s">
        <v>19</v>
      </c>
    </row>
    <row r="96" spans="1:17" ht="68" x14ac:dyDescent="0.2">
      <c r="A96" t="s">
        <v>189</v>
      </c>
      <c r="B96" t="s">
        <v>15</v>
      </c>
      <c r="C96" t="s">
        <v>16</v>
      </c>
      <c r="D96" s="3">
        <v>44326</v>
      </c>
      <c r="E96" s="1">
        <v>44326.489479166667</v>
      </c>
      <c r="F96" t="s">
        <v>17</v>
      </c>
      <c r="G96" t="s">
        <v>63</v>
      </c>
      <c r="H96" s="1">
        <v>44326.375</v>
      </c>
      <c r="I96" s="1">
        <v>44326.489583333336</v>
      </c>
      <c r="J96" s="4">
        <f t="shared" si="1"/>
        <v>0.11458333333575865</v>
      </c>
      <c r="K96" t="s">
        <v>199</v>
      </c>
      <c r="M96">
        <v>6</v>
      </c>
      <c r="N96" s="6">
        <v>0</v>
      </c>
      <c r="Q96" s="2" t="s">
        <v>19</v>
      </c>
    </row>
    <row r="97" spans="1:17" ht="68" x14ac:dyDescent="0.2">
      <c r="A97" t="s">
        <v>189</v>
      </c>
      <c r="B97" t="s">
        <v>15</v>
      </c>
      <c r="C97" t="s">
        <v>16</v>
      </c>
      <c r="D97" s="3">
        <v>44326</v>
      </c>
      <c r="E97" s="1">
        <v>44326.648090277777</v>
      </c>
      <c r="F97" t="s">
        <v>17</v>
      </c>
      <c r="G97" t="s">
        <v>59</v>
      </c>
      <c r="H97" s="1">
        <v>44326.53125</v>
      </c>
      <c r="I97" s="1">
        <v>44326.666666666664</v>
      </c>
      <c r="J97" s="4">
        <f t="shared" si="1"/>
        <v>0.13541666666424135</v>
      </c>
      <c r="K97" t="s">
        <v>195</v>
      </c>
      <c r="M97">
        <v>3</v>
      </c>
      <c r="N97" s="6">
        <v>0</v>
      </c>
      <c r="Q97" s="2" t="s">
        <v>19</v>
      </c>
    </row>
    <row r="98" spans="1:17" ht="68" x14ac:dyDescent="0.2">
      <c r="A98" t="s">
        <v>189</v>
      </c>
      <c r="B98" t="s">
        <v>15</v>
      </c>
      <c r="C98" t="s">
        <v>16</v>
      </c>
      <c r="D98" s="3">
        <v>44327</v>
      </c>
      <c r="E98" s="1">
        <v>44327.424351851849</v>
      </c>
      <c r="F98" t="s">
        <v>17</v>
      </c>
      <c r="G98" t="s">
        <v>39</v>
      </c>
      <c r="H98" s="1">
        <v>44327.375</v>
      </c>
      <c r="I98" s="1">
        <v>44327.489583333336</v>
      </c>
      <c r="J98" s="4">
        <f t="shared" si="1"/>
        <v>0.11458333333575865</v>
      </c>
      <c r="K98" t="s">
        <v>190</v>
      </c>
      <c r="M98">
        <v>1</v>
      </c>
      <c r="N98" s="6">
        <v>0</v>
      </c>
      <c r="Q98" s="2" t="s">
        <v>19</v>
      </c>
    </row>
    <row r="99" spans="1:17" ht="68" x14ac:dyDescent="0.2">
      <c r="A99" t="s">
        <v>189</v>
      </c>
      <c r="B99" t="s">
        <v>15</v>
      </c>
      <c r="C99" t="s">
        <v>16</v>
      </c>
      <c r="D99" s="3">
        <v>44327</v>
      </c>
      <c r="E99" s="1">
        <v>44327.861331018517</v>
      </c>
      <c r="F99" t="s">
        <v>17</v>
      </c>
      <c r="G99" t="s">
        <v>68</v>
      </c>
      <c r="H99" s="1">
        <v>44327.541666666664</v>
      </c>
      <c r="I99" s="1">
        <v>44327.583333333336</v>
      </c>
      <c r="J99" s="4">
        <f t="shared" si="1"/>
        <v>4.1666666671517305E-2</v>
      </c>
      <c r="K99" t="s">
        <v>192</v>
      </c>
      <c r="M99">
        <v>0</v>
      </c>
      <c r="N99" s="6">
        <v>0</v>
      </c>
      <c r="Q99" s="2" t="s">
        <v>19</v>
      </c>
    </row>
    <row r="100" spans="1:17" ht="68" x14ac:dyDescent="0.2">
      <c r="A100" t="s">
        <v>189</v>
      </c>
      <c r="B100" t="s">
        <v>15</v>
      </c>
      <c r="C100" t="s">
        <v>16</v>
      </c>
      <c r="D100" s="3">
        <v>44328</v>
      </c>
      <c r="E100" s="1">
        <v>44328.657025462962</v>
      </c>
      <c r="F100" t="s">
        <v>17</v>
      </c>
      <c r="G100" t="s">
        <v>45</v>
      </c>
      <c r="H100" s="1">
        <v>44328.53125</v>
      </c>
      <c r="I100" s="1">
        <v>44328.666666666664</v>
      </c>
      <c r="J100" s="4">
        <f t="shared" si="1"/>
        <v>0.13541666666424135</v>
      </c>
      <c r="K100" t="s">
        <v>195</v>
      </c>
      <c r="M100">
        <v>0</v>
      </c>
      <c r="N100" s="6">
        <v>0</v>
      </c>
      <c r="Q100" s="2" t="s">
        <v>19</v>
      </c>
    </row>
    <row r="101" spans="1:17" ht="68" x14ac:dyDescent="0.2">
      <c r="A101" t="s">
        <v>189</v>
      </c>
      <c r="B101" t="s">
        <v>15</v>
      </c>
      <c r="C101" t="s">
        <v>16</v>
      </c>
      <c r="D101" s="3">
        <v>44334</v>
      </c>
      <c r="E101" s="1">
        <v>44334.486562500002</v>
      </c>
      <c r="F101" t="s">
        <v>17</v>
      </c>
      <c r="G101" t="s">
        <v>55</v>
      </c>
      <c r="H101" s="1">
        <v>44334.375</v>
      </c>
      <c r="I101" s="1">
        <v>44334.489583333336</v>
      </c>
      <c r="J101" s="4">
        <f t="shared" si="1"/>
        <v>0.11458333333575865</v>
      </c>
      <c r="K101" t="s">
        <v>200</v>
      </c>
      <c r="M101">
        <v>5</v>
      </c>
      <c r="N101" s="6">
        <v>0</v>
      </c>
      <c r="Q101" s="2" t="s">
        <v>19</v>
      </c>
    </row>
    <row r="102" spans="1:17" ht="68" x14ac:dyDescent="0.2">
      <c r="A102" t="s">
        <v>189</v>
      </c>
      <c r="B102" t="s">
        <v>15</v>
      </c>
      <c r="C102" t="s">
        <v>16</v>
      </c>
      <c r="D102" s="3">
        <v>44334</v>
      </c>
      <c r="E102" s="1">
        <v>44334.668136574073</v>
      </c>
      <c r="F102" t="s">
        <v>17</v>
      </c>
      <c r="G102" t="s">
        <v>69</v>
      </c>
      <c r="H102" s="1">
        <v>44334.541666666664</v>
      </c>
      <c r="I102" s="1">
        <v>44334.666666666664</v>
      </c>
      <c r="J102" s="4">
        <f t="shared" si="1"/>
        <v>0.125</v>
      </c>
      <c r="K102" t="s">
        <v>192</v>
      </c>
      <c r="M102">
        <v>0</v>
      </c>
      <c r="N102" s="6">
        <v>0</v>
      </c>
      <c r="Q102" s="2" t="s">
        <v>19</v>
      </c>
    </row>
    <row r="103" spans="1:17" ht="68" x14ac:dyDescent="0.2">
      <c r="A103" t="s">
        <v>189</v>
      </c>
      <c r="B103" t="s">
        <v>15</v>
      </c>
      <c r="C103" t="s">
        <v>16</v>
      </c>
      <c r="D103" s="3">
        <v>44335</v>
      </c>
      <c r="E103" s="1">
        <v>44335.567812499998</v>
      </c>
      <c r="F103" t="s">
        <v>17</v>
      </c>
      <c r="G103" t="s">
        <v>70</v>
      </c>
      <c r="H103" s="1">
        <v>44335.53125</v>
      </c>
      <c r="I103" s="1">
        <v>44335.65625</v>
      </c>
      <c r="J103" s="4">
        <f t="shared" si="1"/>
        <v>0.125</v>
      </c>
      <c r="K103" t="s">
        <v>200</v>
      </c>
      <c r="M103">
        <v>18</v>
      </c>
      <c r="N103" s="6">
        <v>0</v>
      </c>
      <c r="Q103" s="2" t="s">
        <v>19</v>
      </c>
    </row>
    <row r="104" spans="1:17" ht="68" x14ac:dyDescent="0.2">
      <c r="A104" t="s">
        <v>189</v>
      </c>
      <c r="B104" t="s">
        <v>15</v>
      </c>
      <c r="C104" t="s">
        <v>16</v>
      </c>
      <c r="D104" s="3">
        <v>44336</v>
      </c>
      <c r="E104" s="1">
        <v>44336.488391203704</v>
      </c>
      <c r="F104" t="s">
        <v>17</v>
      </c>
      <c r="G104" t="s">
        <v>52</v>
      </c>
      <c r="H104" s="1">
        <v>44336.375</v>
      </c>
      <c r="I104" s="1">
        <v>44336.489583333336</v>
      </c>
      <c r="J104" s="4">
        <f t="shared" si="1"/>
        <v>0.11458333333575865</v>
      </c>
      <c r="K104" t="s">
        <v>200</v>
      </c>
      <c r="M104">
        <v>2</v>
      </c>
      <c r="N104" s="6">
        <v>0</v>
      </c>
      <c r="Q104" s="2" t="s">
        <v>19</v>
      </c>
    </row>
    <row r="105" spans="1:17" ht="68" x14ac:dyDescent="0.2">
      <c r="A105" t="s">
        <v>189</v>
      </c>
      <c r="B105" t="s">
        <v>15</v>
      </c>
      <c r="C105" t="s">
        <v>16</v>
      </c>
      <c r="D105" s="3">
        <v>44336</v>
      </c>
      <c r="E105" s="1">
        <v>44336.656481481485</v>
      </c>
      <c r="F105" t="s">
        <v>17</v>
      </c>
      <c r="G105" t="s">
        <v>59</v>
      </c>
      <c r="H105" s="1">
        <v>44336.53125</v>
      </c>
      <c r="I105" s="1">
        <v>44336.65625</v>
      </c>
      <c r="J105" s="4">
        <f t="shared" si="1"/>
        <v>0.125</v>
      </c>
      <c r="K105" t="s">
        <v>192</v>
      </c>
      <c r="M105">
        <v>0</v>
      </c>
      <c r="N105" s="6">
        <v>0</v>
      </c>
      <c r="Q105" s="2" t="s">
        <v>19</v>
      </c>
    </row>
    <row r="106" spans="1:17" ht="68" x14ac:dyDescent="0.2">
      <c r="A106" t="s">
        <v>189</v>
      </c>
      <c r="B106" t="s">
        <v>15</v>
      </c>
      <c r="C106" t="s">
        <v>16</v>
      </c>
      <c r="D106" s="3">
        <v>44337</v>
      </c>
      <c r="E106" s="1">
        <v>44337.485532407409</v>
      </c>
      <c r="F106" t="s">
        <v>17</v>
      </c>
      <c r="G106" t="s">
        <v>44</v>
      </c>
      <c r="H106" s="1">
        <v>44337.375</v>
      </c>
      <c r="I106" s="1">
        <v>44337.489583333336</v>
      </c>
      <c r="J106" s="4">
        <f t="shared" si="1"/>
        <v>0.11458333333575865</v>
      </c>
      <c r="K106" t="s">
        <v>199</v>
      </c>
      <c r="M106">
        <v>0</v>
      </c>
      <c r="N106" s="6">
        <v>0</v>
      </c>
      <c r="Q106" s="2" t="s">
        <v>19</v>
      </c>
    </row>
    <row r="107" spans="1:17" ht="68" x14ac:dyDescent="0.2">
      <c r="A107" t="s">
        <v>189</v>
      </c>
      <c r="B107" t="s">
        <v>15</v>
      </c>
      <c r="C107" t="s">
        <v>16</v>
      </c>
      <c r="D107" s="3">
        <v>44337</v>
      </c>
      <c r="E107" s="1">
        <v>44337.551296296297</v>
      </c>
      <c r="F107" t="s">
        <v>17</v>
      </c>
      <c r="G107" t="s">
        <v>70</v>
      </c>
      <c r="H107" s="1">
        <v>44337.535416666666</v>
      </c>
      <c r="I107" s="1">
        <v>44337.666666666664</v>
      </c>
      <c r="J107" s="4">
        <f t="shared" si="1"/>
        <v>0.13124999999854481</v>
      </c>
      <c r="K107" t="s">
        <v>208</v>
      </c>
      <c r="M107">
        <v>0</v>
      </c>
      <c r="N107" s="5" t="s">
        <v>144</v>
      </c>
      <c r="Q107" s="2" t="s">
        <v>19</v>
      </c>
    </row>
    <row r="108" spans="1:17" ht="68" x14ac:dyDescent="0.2">
      <c r="A108" t="s">
        <v>189</v>
      </c>
      <c r="B108" t="s">
        <v>15</v>
      </c>
      <c r="C108" t="s">
        <v>16</v>
      </c>
      <c r="D108" s="3">
        <v>44338</v>
      </c>
      <c r="E108" s="1">
        <v>44338.493495370371</v>
      </c>
      <c r="F108" t="s">
        <v>17</v>
      </c>
      <c r="G108" t="s">
        <v>47</v>
      </c>
      <c r="H108" s="1">
        <v>44338.375</v>
      </c>
      <c r="I108" s="1">
        <v>44338.489583333336</v>
      </c>
      <c r="J108" s="4">
        <f t="shared" si="1"/>
        <v>0.11458333333575865</v>
      </c>
      <c r="K108" t="s">
        <v>209</v>
      </c>
      <c r="M108">
        <v>0</v>
      </c>
      <c r="N108" s="6">
        <v>0</v>
      </c>
      <c r="Q108" s="2" t="s">
        <v>19</v>
      </c>
    </row>
    <row r="109" spans="1:17" ht="68" x14ac:dyDescent="0.2">
      <c r="A109" t="s">
        <v>189</v>
      </c>
      <c r="B109" t="s">
        <v>15</v>
      </c>
      <c r="C109" t="s">
        <v>16</v>
      </c>
      <c r="D109" s="3">
        <v>44338</v>
      </c>
      <c r="E109" s="1">
        <v>44338.548333333332</v>
      </c>
      <c r="F109" t="s">
        <v>17</v>
      </c>
      <c r="G109" t="s">
        <v>42</v>
      </c>
      <c r="H109" s="1">
        <v>44338.53125</v>
      </c>
      <c r="I109" s="1">
        <v>44338.645833333336</v>
      </c>
      <c r="J109" s="4">
        <f t="shared" si="1"/>
        <v>0.11458333333575865</v>
      </c>
      <c r="K109" t="s">
        <v>210</v>
      </c>
      <c r="M109">
        <v>5</v>
      </c>
      <c r="N109" s="6">
        <v>0</v>
      </c>
      <c r="Q109" s="2" t="s">
        <v>19</v>
      </c>
    </row>
    <row r="110" spans="1:17" ht="68" x14ac:dyDescent="0.2">
      <c r="A110" t="s">
        <v>189</v>
      </c>
      <c r="B110" t="s">
        <v>15</v>
      </c>
      <c r="C110" t="s">
        <v>16</v>
      </c>
      <c r="D110" s="3">
        <v>44340</v>
      </c>
      <c r="E110" s="1">
        <v>44340.498807870368</v>
      </c>
      <c r="F110" t="s">
        <v>17</v>
      </c>
      <c r="G110" t="s">
        <v>71</v>
      </c>
      <c r="H110" s="1">
        <v>44340.375</v>
      </c>
      <c r="I110" s="1">
        <v>44340.489583333336</v>
      </c>
      <c r="J110" s="4">
        <f t="shared" si="1"/>
        <v>0.11458333333575865</v>
      </c>
      <c r="K110" t="s">
        <v>211</v>
      </c>
      <c r="M110">
        <v>1</v>
      </c>
      <c r="N110" s="6">
        <v>0</v>
      </c>
      <c r="Q110" s="2" t="s">
        <v>19</v>
      </c>
    </row>
    <row r="111" spans="1:17" ht="68" x14ac:dyDescent="0.2">
      <c r="A111" t="s">
        <v>189</v>
      </c>
      <c r="B111" t="s">
        <v>15</v>
      </c>
      <c r="C111" t="s">
        <v>16</v>
      </c>
      <c r="D111" s="3">
        <v>44340</v>
      </c>
      <c r="E111" s="1">
        <v>44340.510740740741</v>
      </c>
      <c r="F111" t="s">
        <v>17</v>
      </c>
      <c r="G111" t="s">
        <v>71</v>
      </c>
      <c r="H111" s="1">
        <v>44340.375</v>
      </c>
      <c r="I111" s="1">
        <v>44340.489583333336</v>
      </c>
      <c r="J111" s="4">
        <f t="shared" si="1"/>
        <v>0.11458333333575865</v>
      </c>
      <c r="K111" t="s">
        <v>211</v>
      </c>
      <c r="M111">
        <v>0</v>
      </c>
      <c r="N111" s="5" t="s">
        <v>144</v>
      </c>
      <c r="Q111" s="2" t="s">
        <v>19</v>
      </c>
    </row>
    <row r="112" spans="1:17" ht="68" x14ac:dyDescent="0.2">
      <c r="A112" t="s">
        <v>189</v>
      </c>
      <c r="B112" t="s">
        <v>15</v>
      </c>
      <c r="C112" t="s">
        <v>16</v>
      </c>
      <c r="D112" s="3">
        <v>44341</v>
      </c>
      <c r="E112" s="1">
        <v>44341.489571759259</v>
      </c>
      <c r="F112" t="s">
        <v>17</v>
      </c>
      <c r="G112" t="s">
        <v>55</v>
      </c>
      <c r="H112" s="1">
        <v>44341.383333333331</v>
      </c>
      <c r="I112" s="1">
        <v>44341.404166666667</v>
      </c>
      <c r="J112" s="4">
        <f t="shared" si="1"/>
        <v>2.0833333335758653E-2</v>
      </c>
      <c r="K112" t="s">
        <v>200</v>
      </c>
      <c r="M112">
        <v>0</v>
      </c>
      <c r="N112" s="5" t="s">
        <v>144</v>
      </c>
      <c r="Q112" s="2" t="s">
        <v>19</v>
      </c>
    </row>
    <row r="113" spans="1:17" ht="68" x14ac:dyDescent="0.2">
      <c r="A113" t="s">
        <v>189</v>
      </c>
      <c r="B113" t="s">
        <v>15</v>
      </c>
      <c r="C113" t="s">
        <v>16</v>
      </c>
      <c r="D113" s="3">
        <v>44341</v>
      </c>
      <c r="E113" s="1">
        <v>44341.66</v>
      </c>
      <c r="F113" t="s">
        <v>17</v>
      </c>
      <c r="G113" t="s">
        <v>68</v>
      </c>
      <c r="H113" s="1">
        <v>44341.541666666664</v>
      </c>
      <c r="I113" s="1">
        <v>44341.666666666664</v>
      </c>
      <c r="J113" s="4">
        <f t="shared" si="1"/>
        <v>0.125</v>
      </c>
      <c r="K113" t="s">
        <v>192</v>
      </c>
      <c r="M113">
        <v>0</v>
      </c>
      <c r="N113" s="6">
        <v>0</v>
      </c>
      <c r="Q113" s="2" t="s">
        <v>19</v>
      </c>
    </row>
    <row r="114" spans="1:17" ht="68" x14ac:dyDescent="0.2">
      <c r="A114" t="s">
        <v>189</v>
      </c>
      <c r="B114" t="s">
        <v>15</v>
      </c>
      <c r="C114" t="s">
        <v>16</v>
      </c>
      <c r="D114" s="3">
        <v>44342</v>
      </c>
      <c r="E114" s="1">
        <v>44342.493831018517</v>
      </c>
      <c r="F114" t="s">
        <v>17</v>
      </c>
      <c r="G114" t="s">
        <v>72</v>
      </c>
      <c r="H114" s="1">
        <v>44342.375</v>
      </c>
      <c r="I114" s="1">
        <v>44342.5</v>
      </c>
      <c r="J114" s="4">
        <f t="shared" si="1"/>
        <v>0.125</v>
      </c>
      <c r="K114" t="s">
        <v>212</v>
      </c>
      <c r="M114">
        <v>0</v>
      </c>
      <c r="N114" s="6">
        <v>0</v>
      </c>
      <c r="Q114" s="2" t="s">
        <v>19</v>
      </c>
    </row>
    <row r="115" spans="1:17" ht="68" x14ac:dyDescent="0.2">
      <c r="A115" t="s">
        <v>189</v>
      </c>
      <c r="B115" t="s">
        <v>15</v>
      </c>
      <c r="C115" t="s">
        <v>16</v>
      </c>
      <c r="D115" s="3">
        <v>44342</v>
      </c>
      <c r="E115" s="1">
        <v>44342.647303240738</v>
      </c>
      <c r="F115" t="s">
        <v>17</v>
      </c>
      <c r="G115" t="s">
        <v>35</v>
      </c>
      <c r="H115" s="1">
        <v>44342.53125</v>
      </c>
      <c r="I115" s="1">
        <v>44342.666666666664</v>
      </c>
      <c r="J115" s="4">
        <f t="shared" si="1"/>
        <v>0.13541666666424135</v>
      </c>
      <c r="K115" t="s">
        <v>200</v>
      </c>
      <c r="M115">
        <v>2</v>
      </c>
      <c r="N115" s="6">
        <v>0</v>
      </c>
      <c r="Q115" s="2" t="s">
        <v>19</v>
      </c>
    </row>
    <row r="116" spans="1:17" ht="68" x14ac:dyDescent="0.2">
      <c r="A116" t="s">
        <v>189</v>
      </c>
      <c r="B116" t="s">
        <v>15</v>
      </c>
      <c r="C116" t="s">
        <v>16</v>
      </c>
      <c r="D116" s="3">
        <v>44342</v>
      </c>
      <c r="E116" s="1">
        <v>44342.660532407404</v>
      </c>
      <c r="F116" t="s">
        <v>17</v>
      </c>
      <c r="G116" t="s">
        <v>35</v>
      </c>
      <c r="H116" s="1">
        <v>44342.53125</v>
      </c>
      <c r="I116" s="1">
        <v>44342.666666666664</v>
      </c>
      <c r="J116" s="4">
        <f t="shared" si="1"/>
        <v>0.13541666666424135</v>
      </c>
      <c r="K116" t="s">
        <v>200</v>
      </c>
      <c r="M116">
        <v>0</v>
      </c>
      <c r="N116" s="5" t="s">
        <v>144</v>
      </c>
      <c r="Q116" s="2" t="s">
        <v>19</v>
      </c>
    </row>
    <row r="117" spans="1:17" ht="68" x14ac:dyDescent="0.2">
      <c r="A117" t="s">
        <v>189</v>
      </c>
      <c r="B117" t="s">
        <v>15</v>
      </c>
      <c r="C117" t="s">
        <v>16</v>
      </c>
      <c r="D117" s="3">
        <v>44343</v>
      </c>
      <c r="E117" s="1">
        <v>44343.486238425925</v>
      </c>
      <c r="F117" t="s">
        <v>17</v>
      </c>
      <c r="G117" t="s">
        <v>73</v>
      </c>
      <c r="H117" s="1">
        <v>44343.375</v>
      </c>
      <c r="I117" s="1">
        <v>44343.489583333336</v>
      </c>
      <c r="J117" s="4">
        <f t="shared" si="1"/>
        <v>0.11458333333575865</v>
      </c>
      <c r="K117" t="s">
        <v>196</v>
      </c>
      <c r="M117">
        <v>1</v>
      </c>
      <c r="N117" s="6">
        <v>0</v>
      </c>
      <c r="Q117" s="2" t="s">
        <v>19</v>
      </c>
    </row>
    <row r="118" spans="1:17" ht="68" x14ac:dyDescent="0.2">
      <c r="A118" t="s">
        <v>189</v>
      </c>
      <c r="B118" t="s">
        <v>15</v>
      </c>
      <c r="C118" t="s">
        <v>16</v>
      </c>
      <c r="D118" s="3">
        <v>44344</v>
      </c>
      <c r="E118" s="1">
        <v>44344.488287037035</v>
      </c>
      <c r="F118" t="s">
        <v>17</v>
      </c>
      <c r="G118" t="s">
        <v>53</v>
      </c>
      <c r="H118" s="1">
        <v>44344.375</v>
      </c>
      <c r="I118" s="1">
        <v>44344.489583333336</v>
      </c>
      <c r="J118" s="4">
        <f t="shared" si="1"/>
        <v>0.11458333333575865</v>
      </c>
      <c r="K118" t="s">
        <v>199</v>
      </c>
      <c r="M118">
        <v>5</v>
      </c>
      <c r="N118" s="6">
        <v>0</v>
      </c>
      <c r="Q118" s="2" t="s">
        <v>19</v>
      </c>
    </row>
    <row r="119" spans="1:17" ht="68" x14ac:dyDescent="0.2">
      <c r="A119" t="s">
        <v>189</v>
      </c>
      <c r="B119" t="s">
        <v>15</v>
      </c>
      <c r="C119" t="s">
        <v>16</v>
      </c>
      <c r="D119" s="3">
        <v>44348</v>
      </c>
      <c r="E119" s="1">
        <v>44348.49077546296</v>
      </c>
      <c r="F119" t="s">
        <v>17</v>
      </c>
      <c r="G119" t="s">
        <v>53</v>
      </c>
      <c r="H119" s="1">
        <v>44348.378472222219</v>
      </c>
      <c r="I119" s="1">
        <v>44348.490972222222</v>
      </c>
      <c r="J119" s="4">
        <f t="shared" si="1"/>
        <v>0.11250000000291038</v>
      </c>
      <c r="K119" t="s">
        <v>213</v>
      </c>
      <c r="M119">
        <v>0</v>
      </c>
      <c r="N119" s="5" t="s">
        <v>144</v>
      </c>
      <c r="Q119" s="2" t="s">
        <v>19</v>
      </c>
    </row>
    <row r="120" spans="1:17" ht="68" x14ac:dyDescent="0.2">
      <c r="A120" t="s">
        <v>189</v>
      </c>
      <c r="B120" t="s">
        <v>15</v>
      </c>
      <c r="C120" t="s">
        <v>16</v>
      </c>
      <c r="D120" s="3">
        <v>44348</v>
      </c>
      <c r="E120" s="1">
        <v>44348.644131944442</v>
      </c>
      <c r="F120" t="s">
        <v>17</v>
      </c>
      <c r="G120" t="s">
        <v>74</v>
      </c>
      <c r="H120" s="1">
        <v>44348.541666666664</v>
      </c>
      <c r="I120" s="1">
        <v>44348.645833333336</v>
      </c>
      <c r="J120" s="4">
        <f t="shared" si="1"/>
        <v>0.10416666667151731</v>
      </c>
      <c r="K120" t="s">
        <v>192</v>
      </c>
      <c r="M120">
        <v>0</v>
      </c>
      <c r="N120" s="6">
        <v>0</v>
      </c>
      <c r="Q120" s="2" t="s">
        <v>19</v>
      </c>
    </row>
    <row r="121" spans="1:17" ht="68" x14ac:dyDescent="0.2">
      <c r="A121" t="s">
        <v>189</v>
      </c>
      <c r="B121" t="s">
        <v>15</v>
      </c>
      <c r="C121" t="s">
        <v>16</v>
      </c>
      <c r="D121" s="3">
        <v>44348</v>
      </c>
      <c r="E121" s="1">
        <v>44348.667291666665</v>
      </c>
      <c r="F121" t="s">
        <v>17</v>
      </c>
      <c r="G121" t="s">
        <v>75</v>
      </c>
      <c r="H121" s="1">
        <v>44348.645833333336</v>
      </c>
      <c r="I121" s="1">
        <v>44348.666666666664</v>
      </c>
      <c r="J121" s="4">
        <f t="shared" si="1"/>
        <v>2.0833333328482695E-2</v>
      </c>
      <c r="K121" t="s">
        <v>214</v>
      </c>
      <c r="M121">
        <v>0</v>
      </c>
      <c r="N121" s="6">
        <v>0</v>
      </c>
      <c r="Q121" s="2" t="s">
        <v>19</v>
      </c>
    </row>
    <row r="122" spans="1:17" ht="68" x14ac:dyDescent="0.2">
      <c r="A122" t="s">
        <v>189</v>
      </c>
      <c r="B122" t="s">
        <v>15</v>
      </c>
      <c r="C122" t="s">
        <v>16</v>
      </c>
      <c r="D122" s="3">
        <v>44349</v>
      </c>
      <c r="E122" s="1">
        <v>44349.463078703702</v>
      </c>
      <c r="F122" t="s">
        <v>17</v>
      </c>
      <c r="G122" t="s">
        <v>76</v>
      </c>
      <c r="H122" s="1">
        <v>44349.376388888886</v>
      </c>
      <c r="I122" s="1">
        <v>44349.489583333336</v>
      </c>
      <c r="J122" s="4">
        <f t="shared" si="1"/>
        <v>0.11319444444961846</v>
      </c>
      <c r="K122" t="s">
        <v>197</v>
      </c>
      <c r="M122">
        <v>1</v>
      </c>
      <c r="N122" s="6">
        <v>0</v>
      </c>
      <c r="Q122" s="2" t="s">
        <v>19</v>
      </c>
    </row>
    <row r="123" spans="1:17" ht="68" x14ac:dyDescent="0.2">
      <c r="A123" t="s">
        <v>189</v>
      </c>
      <c r="B123" t="s">
        <v>15</v>
      </c>
      <c r="C123" t="s">
        <v>16</v>
      </c>
      <c r="D123" s="3">
        <v>44349</v>
      </c>
      <c r="E123" s="1">
        <v>44349.668749999997</v>
      </c>
      <c r="F123" t="s">
        <v>17</v>
      </c>
      <c r="G123" t="s">
        <v>37</v>
      </c>
      <c r="H123" s="1">
        <v>44349.53125</v>
      </c>
      <c r="I123" s="1">
        <v>44349.645833333336</v>
      </c>
      <c r="J123" s="4">
        <f t="shared" si="1"/>
        <v>0.11458333333575865</v>
      </c>
      <c r="K123" t="s">
        <v>192</v>
      </c>
      <c r="M123">
        <v>0</v>
      </c>
      <c r="N123" s="6">
        <v>0</v>
      </c>
      <c r="Q123" s="2" t="s">
        <v>19</v>
      </c>
    </row>
    <row r="124" spans="1:17" ht="68" x14ac:dyDescent="0.2">
      <c r="A124" t="s">
        <v>189</v>
      </c>
      <c r="B124" t="s">
        <v>15</v>
      </c>
      <c r="C124" t="s">
        <v>16</v>
      </c>
      <c r="D124" s="3">
        <v>44350</v>
      </c>
      <c r="E124" s="1">
        <v>44350.398495370369</v>
      </c>
      <c r="F124" t="s">
        <v>17</v>
      </c>
      <c r="G124" t="s">
        <v>77</v>
      </c>
      <c r="H124" s="1">
        <v>44350.333333333336</v>
      </c>
      <c r="I124" s="1">
        <v>44350.479166666664</v>
      </c>
      <c r="J124" s="4">
        <f t="shared" si="1"/>
        <v>0.14583333332848269</v>
      </c>
      <c r="K124" t="s">
        <v>191</v>
      </c>
      <c r="M124">
        <v>3</v>
      </c>
      <c r="N124" s="6">
        <v>0</v>
      </c>
      <c r="Q124" s="2" t="s">
        <v>19</v>
      </c>
    </row>
    <row r="125" spans="1:17" ht="68" x14ac:dyDescent="0.2">
      <c r="A125" t="s">
        <v>189</v>
      </c>
      <c r="B125" t="s">
        <v>15</v>
      </c>
      <c r="C125" t="s">
        <v>16</v>
      </c>
      <c r="D125" s="3">
        <v>44351</v>
      </c>
      <c r="E125" s="1">
        <v>44351.488912037035</v>
      </c>
      <c r="F125" t="s">
        <v>17</v>
      </c>
      <c r="G125" t="s">
        <v>63</v>
      </c>
      <c r="H125" s="1">
        <v>44351.375</v>
      </c>
      <c r="I125" s="1">
        <v>44351.489583333336</v>
      </c>
      <c r="J125" s="4">
        <f t="shared" si="1"/>
        <v>0.11458333333575865</v>
      </c>
      <c r="K125" t="s">
        <v>199</v>
      </c>
      <c r="M125">
        <v>0</v>
      </c>
      <c r="N125" s="6">
        <v>0</v>
      </c>
      <c r="Q125" s="2" t="s">
        <v>19</v>
      </c>
    </row>
    <row r="126" spans="1:17" ht="68" x14ac:dyDescent="0.2">
      <c r="A126" t="s">
        <v>189</v>
      </c>
      <c r="B126" t="s">
        <v>15</v>
      </c>
      <c r="C126" t="s">
        <v>16</v>
      </c>
      <c r="D126" s="3">
        <v>44351</v>
      </c>
      <c r="E126" s="1">
        <v>44351.65834490741</v>
      </c>
      <c r="F126" t="s">
        <v>17</v>
      </c>
      <c r="G126" t="s">
        <v>45</v>
      </c>
      <c r="H126" s="1">
        <v>44351.53125</v>
      </c>
      <c r="I126" s="1">
        <v>44351.666666666664</v>
      </c>
      <c r="J126" s="4">
        <f t="shared" si="1"/>
        <v>0.13541666666424135</v>
      </c>
      <c r="K126" t="s">
        <v>195</v>
      </c>
      <c r="M126">
        <v>5</v>
      </c>
      <c r="N126" s="6">
        <v>0</v>
      </c>
      <c r="Q126" s="2" t="s">
        <v>19</v>
      </c>
    </row>
    <row r="127" spans="1:17" ht="68" x14ac:dyDescent="0.2">
      <c r="A127" t="s">
        <v>189</v>
      </c>
      <c r="B127" t="s">
        <v>15</v>
      </c>
      <c r="C127" t="s">
        <v>16</v>
      </c>
      <c r="D127" s="3">
        <v>44354</v>
      </c>
      <c r="E127" s="1">
        <v>44354.48914351852</v>
      </c>
      <c r="F127" t="s">
        <v>17</v>
      </c>
      <c r="G127" t="s">
        <v>78</v>
      </c>
      <c r="H127" s="1">
        <v>44354.375</v>
      </c>
      <c r="I127" s="1">
        <v>44354.489583333336</v>
      </c>
      <c r="J127" s="4">
        <f t="shared" si="1"/>
        <v>0.11458333333575865</v>
      </c>
      <c r="K127" t="s">
        <v>215</v>
      </c>
      <c r="M127">
        <v>23</v>
      </c>
      <c r="N127" s="6">
        <v>0</v>
      </c>
      <c r="Q127" s="2" t="s">
        <v>19</v>
      </c>
    </row>
    <row r="128" spans="1:17" ht="68" x14ac:dyDescent="0.2">
      <c r="A128" t="s">
        <v>189</v>
      </c>
      <c r="B128" t="s">
        <v>15</v>
      </c>
      <c r="C128" t="s">
        <v>16</v>
      </c>
      <c r="D128" s="3">
        <v>44354</v>
      </c>
      <c r="E128" s="1">
        <v>44354.643449074072</v>
      </c>
      <c r="F128" t="s">
        <v>17</v>
      </c>
      <c r="G128" t="s">
        <v>79</v>
      </c>
      <c r="H128" s="1">
        <v>44354.530555555553</v>
      </c>
      <c r="I128" s="1">
        <v>44354.645833333336</v>
      </c>
      <c r="J128" s="4">
        <f t="shared" si="1"/>
        <v>0.11527777778246673</v>
      </c>
      <c r="K128" t="s">
        <v>200</v>
      </c>
      <c r="M128">
        <v>3</v>
      </c>
      <c r="N128" s="6">
        <v>0</v>
      </c>
      <c r="Q128" s="2" t="s">
        <v>19</v>
      </c>
    </row>
    <row r="129" spans="1:17" ht="68" x14ac:dyDescent="0.2">
      <c r="A129" t="s">
        <v>189</v>
      </c>
      <c r="B129" t="s">
        <v>15</v>
      </c>
      <c r="C129" t="s">
        <v>16</v>
      </c>
      <c r="D129" s="3">
        <v>44355</v>
      </c>
      <c r="E129" s="1">
        <v>44355.48773148148</v>
      </c>
      <c r="F129" t="s">
        <v>17</v>
      </c>
      <c r="G129" t="s">
        <v>80</v>
      </c>
      <c r="H129" s="1">
        <v>44355.375</v>
      </c>
      <c r="I129" s="1">
        <v>44355.489583333336</v>
      </c>
      <c r="J129" s="4">
        <f t="shared" si="1"/>
        <v>0.11458333333575865</v>
      </c>
      <c r="K129" t="s">
        <v>216</v>
      </c>
      <c r="M129">
        <v>2</v>
      </c>
      <c r="N129" s="6">
        <v>0</v>
      </c>
      <c r="Q129" s="2" t="s">
        <v>19</v>
      </c>
    </row>
    <row r="130" spans="1:17" ht="68" x14ac:dyDescent="0.2">
      <c r="A130" t="s">
        <v>189</v>
      </c>
      <c r="B130" t="s">
        <v>15</v>
      </c>
      <c r="C130" t="s">
        <v>16</v>
      </c>
      <c r="D130" s="3">
        <v>44355</v>
      </c>
      <c r="E130" s="1">
        <v>44355.672094907408</v>
      </c>
      <c r="F130" t="s">
        <v>17</v>
      </c>
      <c r="G130" t="s">
        <v>48</v>
      </c>
      <c r="H130" s="1">
        <v>44355.541666666664</v>
      </c>
      <c r="I130" s="1">
        <v>44355.666666666664</v>
      </c>
      <c r="J130" s="4">
        <f t="shared" si="1"/>
        <v>0.125</v>
      </c>
      <c r="K130" t="s">
        <v>192</v>
      </c>
      <c r="M130">
        <v>0</v>
      </c>
      <c r="N130" s="6">
        <v>0</v>
      </c>
      <c r="Q130" s="2" t="s">
        <v>19</v>
      </c>
    </row>
    <row r="131" spans="1:17" ht="68" x14ac:dyDescent="0.2">
      <c r="A131" t="s">
        <v>189</v>
      </c>
      <c r="B131" t="s">
        <v>15</v>
      </c>
      <c r="C131" t="s">
        <v>16</v>
      </c>
      <c r="D131" s="3">
        <v>44356</v>
      </c>
      <c r="E131" s="1">
        <v>44356.484861111108</v>
      </c>
      <c r="F131" t="s">
        <v>17</v>
      </c>
      <c r="G131" t="s">
        <v>78</v>
      </c>
      <c r="H131" s="1">
        <v>44356.375</v>
      </c>
      <c r="I131" s="1">
        <v>44356.489583333336</v>
      </c>
      <c r="J131" s="4">
        <f t="shared" ref="J131:J194" si="2">IF($I131="","",$I131-$H131)</f>
        <v>0.11458333333575865</v>
      </c>
      <c r="K131" t="s">
        <v>197</v>
      </c>
      <c r="M131">
        <v>0</v>
      </c>
      <c r="N131" s="6">
        <v>0</v>
      </c>
      <c r="Q131" s="2" t="s">
        <v>19</v>
      </c>
    </row>
    <row r="132" spans="1:17" ht="68" x14ac:dyDescent="0.2">
      <c r="A132" t="s">
        <v>189</v>
      </c>
      <c r="B132" t="s">
        <v>15</v>
      </c>
      <c r="C132" t="s">
        <v>16</v>
      </c>
      <c r="D132" s="3">
        <v>44356</v>
      </c>
      <c r="E132" s="1">
        <v>44356.635335648149</v>
      </c>
      <c r="F132" t="s">
        <v>17</v>
      </c>
      <c r="G132" t="s">
        <v>58</v>
      </c>
      <c r="H132" s="1">
        <v>44356.54791666667</v>
      </c>
      <c r="I132" s="1">
        <v>44356.666666666664</v>
      </c>
      <c r="J132" s="4">
        <f t="shared" si="2"/>
        <v>0.11874999999417923</v>
      </c>
      <c r="K132" t="s">
        <v>200</v>
      </c>
      <c r="M132">
        <v>1</v>
      </c>
      <c r="N132" s="6">
        <v>0</v>
      </c>
      <c r="Q132" s="2" t="s">
        <v>19</v>
      </c>
    </row>
    <row r="133" spans="1:17" ht="68" x14ac:dyDescent="0.2">
      <c r="A133" t="s">
        <v>189</v>
      </c>
      <c r="B133" t="s">
        <v>15</v>
      </c>
      <c r="C133" t="s">
        <v>16</v>
      </c>
      <c r="D133" s="3">
        <v>44357</v>
      </c>
      <c r="E133" s="1">
        <v>44357.35864583333</v>
      </c>
      <c r="F133" t="s">
        <v>17</v>
      </c>
      <c r="G133" t="s">
        <v>81</v>
      </c>
      <c r="H133" s="1">
        <v>44357.333333333336</v>
      </c>
      <c r="I133" s="1">
        <v>44357.479166666664</v>
      </c>
      <c r="J133" s="4">
        <f t="shared" si="2"/>
        <v>0.14583333332848269</v>
      </c>
      <c r="K133" t="s">
        <v>217</v>
      </c>
      <c r="M133">
        <v>4</v>
      </c>
      <c r="N133" s="6">
        <v>0</v>
      </c>
      <c r="Q133" s="2" t="s">
        <v>19</v>
      </c>
    </row>
    <row r="134" spans="1:17" ht="68" x14ac:dyDescent="0.2">
      <c r="A134" t="s">
        <v>189</v>
      </c>
      <c r="B134" t="s">
        <v>15</v>
      </c>
      <c r="C134" t="s">
        <v>16</v>
      </c>
      <c r="D134" s="3">
        <v>44358</v>
      </c>
      <c r="E134" s="1">
        <v>44358.489594907405</v>
      </c>
      <c r="F134" t="s">
        <v>17</v>
      </c>
      <c r="G134" t="s">
        <v>53</v>
      </c>
      <c r="H134" s="1">
        <v>44358.375</v>
      </c>
      <c r="I134" s="1">
        <v>44358.489583333336</v>
      </c>
      <c r="J134" s="4">
        <f t="shared" si="2"/>
        <v>0.11458333333575865</v>
      </c>
      <c r="K134" t="s">
        <v>199</v>
      </c>
      <c r="M134">
        <v>1</v>
      </c>
      <c r="N134" s="6">
        <v>0</v>
      </c>
      <c r="Q134" s="2" t="s">
        <v>19</v>
      </c>
    </row>
    <row r="135" spans="1:17" ht="68" x14ac:dyDescent="0.2">
      <c r="A135" t="s">
        <v>189</v>
      </c>
      <c r="B135" t="s">
        <v>15</v>
      </c>
      <c r="C135" t="s">
        <v>16</v>
      </c>
      <c r="D135" s="3">
        <v>44358</v>
      </c>
      <c r="E135" s="1">
        <v>44358.621631944443</v>
      </c>
      <c r="F135" t="s">
        <v>17</v>
      </c>
      <c r="G135" t="s">
        <v>82</v>
      </c>
      <c r="H135" s="1">
        <v>44358.53125</v>
      </c>
      <c r="I135" s="1">
        <v>44358.645833333336</v>
      </c>
      <c r="J135" s="4">
        <f t="shared" si="2"/>
        <v>0.11458333333575865</v>
      </c>
      <c r="K135" t="s">
        <v>200</v>
      </c>
      <c r="M135">
        <v>0</v>
      </c>
      <c r="N135" s="6">
        <v>0</v>
      </c>
      <c r="Q135" s="2" t="s">
        <v>19</v>
      </c>
    </row>
    <row r="136" spans="1:17" ht="68" x14ac:dyDescent="0.2">
      <c r="A136" t="s">
        <v>189</v>
      </c>
      <c r="B136" t="s">
        <v>15</v>
      </c>
      <c r="C136" t="s">
        <v>16</v>
      </c>
      <c r="D136" s="3">
        <v>44358</v>
      </c>
      <c r="E136" s="1">
        <v>44358.621747685182</v>
      </c>
      <c r="F136" t="s">
        <v>17</v>
      </c>
      <c r="G136" t="s">
        <v>82</v>
      </c>
      <c r="H136" s="1">
        <v>44358.53125</v>
      </c>
      <c r="I136" s="1">
        <v>44358.645833333336</v>
      </c>
      <c r="J136" s="4">
        <f t="shared" si="2"/>
        <v>0.11458333333575865</v>
      </c>
      <c r="K136" t="s">
        <v>200</v>
      </c>
      <c r="M136">
        <v>5</v>
      </c>
      <c r="N136" s="6">
        <v>0</v>
      </c>
      <c r="Q136" s="2" t="s">
        <v>19</v>
      </c>
    </row>
    <row r="137" spans="1:17" ht="68" x14ac:dyDescent="0.2">
      <c r="A137" t="s">
        <v>189</v>
      </c>
      <c r="B137" t="s">
        <v>15</v>
      </c>
      <c r="C137" t="s">
        <v>16</v>
      </c>
      <c r="D137" s="3">
        <v>44361</v>
      </c>
      <c r="E137" s="1">
        <v>44361.487303240741</v>
      </c>
      <c r="F137" t="s">
        <v>17</v>
      </c>
      <c r="G137" t="s">
        <v>46</v>
      </c>
      <c r="H137" s="1">
        <v>44361.375</v>
      </c>
      <c r="I137" s="1">
        <v>44361.489583333336</v>
      </c>
      <c r="J137" s="4">
        <f t="shared" si="2"/>
        <v>0.11458333333575865</v>
      </c>
      <c r="K137" t="s">
        <v>199</v>
      </c>
      <c r="M137">
        <v>4</v>
      </c>
      <c r="N137" s="6">
        <v>0</v>
      </c>
      <c r="Q137" s="2" t="s">
        <v>19</v>
      </c>
    </row>
    <row r="138" spans="1:17" ht="68" x14ac:dyDescent="0.2">
      <c r="A138" t="s">
        <v>189</v>
      </c>
      <c r="B138" t="s">
        <v>15</v>
      </c>
      <c r="C138" t="s">
        <v>16</v>
      </c>
      <c r="D138" s="3">
        <v>44361</v>
      </c>
      <c r="E138" s="1">
        <v>44361.630439814813</v>
      </c>
      <c r="F138" t="s">
        <v>17</v>
      </c>
      <c r="G138" t="s">
        <v>35</v>
      </c>
      <c r="H138" s="1">
        <v>44361.537499999999</v>
      </c>
      <c r="I138" s="1">
        <v>44361.645833333336</v>
      </c>
      <c r="J138" s="4">
        <f t="shared" si="2"/>
        <v>0.10833333333721384</v>
      </c>
      <c r="K138" t="s">
        <v>200</v>
      </c>
      <c r="M138">
        <v>3</v>
      </c>
      <c r="N138" s="6">
        <v>0</v>
      </c>
      <c r="Q138" s="2" t="s">
        <v>19</v>
      </c>
    </row>
    <row r="139" spans="1:17" ht="68" x14ac:dyDescent="0.2">
      <c r="A139" t="s">
        <v>189</v>
      </c>
      <c r="B139" t="s">
        <v>15</v>
      </c>
      <c r="C139" t="s">
        <v>16</v>
      </c>
      <c r="D139" s="3">
        <v>44361</v>
      </c>
      <c r="E139" s="1">
        <v>44361.643854166665</v>
      </c>
      <c r="F139" t="s">
        <v>17</v>
      </c>
      <c r="G139" t="s">
        <v>35</v>
      </c>
      <c r="H139" s="1">
        <v>44361.537499999999</v>
      </c>
      <c r="I139" s="1">
        <v>44361.645833333336</v>
      </c>
      <c r="J139" s="4">
        <f t="shared" si="2"/>
        <v>0.10833333333721384</v>
      </c>
      <c r="K139" t="s">
        <v>200</v>
      </c>
      <c r="M139">
        <v>0</v>
      </c>
      <c r="N139" s="6">
        <v>0</v>
      </c>
      <c r="Q139" s="2" t="s">
        <v>19</v>
      </c>
    </row>
    <row r="140" spans="1:17" ht="68" x14ac:dyDescent="0.2">
      <c r="A140" t="s">
        <v>189</v>
      </c>
      <c r="B140" t="s">
        <v>15</v>
      </c>
      <c r="C140" t="s">
        <v>16</v>
      </c>
      <c r="D140" s="3">
        <v>44363</v>
      </c>
      <c r="E140" s="1">
        <v>44363.662627314814</v>
      </c>
      <c r="F140" t="s">
        <v>17</v>
      </c>
      <c r="G140" t="s">
        <v>79</v>
      </c>
      <c r="H140" s="1">
        <v>44363.53125</v>
      </c>
      <c r="I140" s="1">
        <v>44363.666666666664</v>
      </c>
      <c r="J140" s="4">
        <f t="shared" si="2"/>
        <v>0.13541666666424135</v>
      </c>
      <c r="K140" t="s">
        <v>200</v>
      </c>
      <c r="M140">
        <v>17</v>
      </c>
      <c r="N140" s="6">
        <v>0</v>
      </c>
      <c r="Q140" s="2" t="s">
        <v>19</v>
      </c>
    </row>
    <row r="141" spans="1:17" ht="68" x14ac:dyDescent="0.2">
      <c r="A141" t="s">
        <v>189</v>
      </c>
      <c r="B141" t="s">
        <v>15</v>
      </c>
      <c r="C141" t="s">
        <v>16</v>
      </c>
      <c r="D141" s="3">
        <v>44364</v>
      </c>
      <c r="E141" s="1">
        <v>44364.491689814815</v>
      </c>
      <c r="F141" t="s">
        <v>17</v>
      </c>
      <c r="G141" t="s">
        <v>77</v>
      </c>
      <c r="H141" s="1">
        <v>44364.333333333336</v>
      </c>
      <c r="I141" s="1">
        <v>44364.479166666664</v>
      </c>
      <c r="J141" s="4">
        <f t="shared" si="2"/>
        <v>0.14583333332848269</v>
      </c>
      <c r="K141" t="s">
        <v>217</v>
      </c>
      <c r="M141">
        <v>0</v>
      </c>
      <c r="N141" s="6">
        <v>0</v>
      </c>
      <c r="Q141" s="2" t="s">
        <v>19</v>
      </c>
    </row>
    <row r="142" spans="1:17" ht="68" x14ac:dyDescent="0.2">
      <c r="A142" t="s">
        <v>189</v>
      </c>
      <c r="B142" t="s">
        <v>15</v>
      </c>
      <c r="C142" t="s">
        <v>16</v>
      </c>
      <c r="D142" s="3">
        <v>44365</v>
      </c>
      <c r="E142" s="1">
        <v>44365.490358796298</v>
      </c>
      <c r="F142" t="s">
        <v>17</v>
      </c>
      <c r="G142" t="s">
        <v>64</v>
      </c>
      <c r="H142" s="1">
        <v>44365.375</v>
      </c>
      <c r="I142" s="1">
        <v>44365.489583333336</v>
      </c>
      <c r="J142" s="4">
        <f t="shared" si="2"/>
        <v>0.11458333333575865</v>
      </c>
      <c r="K142" t="s">
        <v>218</v>
      </c>
      <c r="M142">
        <v>5</v>
      </c>
      <c r="N142" s="6">
        <v>0</v>
      </c>
      <c r="Q142" s="2" t="s">
        <v>19</v>
      </c>
    </row>
    <row r="143" spans="1:17" ht="68" x14ac:dyDescent="0.2">
      <c r="A143" t="s">
        <v>189</v>
      </c>
      <c r="B143" t="s">
        <v>15</v>
      </c>
      <c r="C143" t="s">
        <v>16</v>
      </c>
      <c r="D143" s="3">
        <v>44365</v>
      </c>
      <c r="E143" s="1">
        <v>44365.658495370371</v>
      </c>
      <c r="F143" t="s">
        <v>17</v>
      </c>
      <c r="G143" t="s">
        <v>83</v>
      </c>
      <c r="H143" s="1">
        <v>44365.53125</v>
      </c>
      <c r="I143" s="1">
        <v>44365.666666666664</v>
      </c>
      <c r="J143" s="4">
        <f t="shared" si="2"/>
        <v>0.13541666666424135</v>
      </c>
      <c r="K143" t="s">
        <v>217</v>
      </c>
      <c r="M143">
        <v>0</v>
      </c>
      <c r="N143" s="6">
        <v>0</v>
      </c>
      <c r="Q143" s="2" t="s">
        <v>19</v>
      </c>
    </row>
    <row r="144" spans="1:17" ht="68" x14ac:dyDescent="0.2">
      <c r="A144" t="s">
        <v>189</v>
      </c>
      <c r="B144" t="s">
        <v>15</v>
      </c>
      <c r="C144" t="s">
        <v>16</v>
      </c>
      <c r="D144" s="3">
        <v>44375</v>
      </c>
      <c r="E144" s="1">
        <v>44375.55505787037</v>
      </c>
      <c r="F144" t="s">
        <v>17</v>
      </c>
      <c r="G144" t="s">
        <v>84</v>
      </c>
      <c r="H144" s="1">
        <v>44375.539583333331</v>
      </c>
      <c r="I144" s="1">
        <v>44375.669444444444</v>
      </c>
      <c r="J144" s="4">
        <f t="shared" si="2"/>
        <v>0.12986111111240461</v>
      </c>
      <c r="K144" t="s">
        <v>213</v>
      </c>
      <c r="M144">
        <v>3</v>
      </c>
      <c r="N144" s="6">
        <v>0</v>
      </c>
      <c r="O144" t="s">
        <v>85</v>
      </c>
      <c r="P144" t="s">
        <v>86</v>
      </c>
      <c r="Q144" s="2" t="s">
        <v>19</v>
      </c>
    </row>
    <row r="145" spans="1:17" ht="68" x14ac:dyDescent="0.2">
      <c r="A145" t="s">
        <v>189</v>
      </c>
      <c r="B145" t="s">
        <v>15</v>
      </c>
      <c r="C145" t="s">
        <v>16</v>
      </c>
      <c r="D145" s="3">
        <v>44375</v>
      </c>
      <c r="E145" s="1">
        <v>44375.669432870367</v>
      </c>
      <c r="F145" t="s">
        <v>17</v>
      </c>
      <c r="G145" t="s">
        <v>84</v>
      </c>
      <c r="H145" s="1">
        <v>44375.539583333331</v>
      </c>
      <c r="I145" s="1">
        <v>44375.669444444444</v>
      </c>
      <c r="J145" s="4">
        <f t="shared" si="2"/>
        <v>0.12986111111240461</v>
      </c>
      <c r="K145" t="s">
        <v>213</v>
      </c>
      <c r="M145">
        <v>0</v>
      </c>
      <c r="N145" s="5" t="s">
        <v>144</v>
      </c>
      <c r="Q145" s="2" t="s">
        <v>19</v>
      </c>
    </row>
    <row r="146" spans="1:17" ht="68" x14ac:dyDescent="0.2">
      <c r="A146" t="s">
        <v>189</v>
      </c>
      <c r="B146" t="s">
        <v>87</v>
      </c>
      <c r="C146" t="s">
        <v>16</v>
      </c>
      <c r="D146" s="3">
        <v>44321</v>
      </c>
      <c r="E146" s="1">
        <v>44321.658854166664</v>
      </c>
      <c r="F146" t="s">
        <v>17</v>
      </c>
      <c r="G146" t="s">
        <v>66</v>
      </c>
      <c r="H146" s="1">
        <v>44321.510416666664</v>
      </c>
      <c r="I146" s="1">
        <v>44321.666666666664</v>
      </c>
      <c r="J146" s="4">
        <f t="shared" si="2"/>
        <v>0.15625</v>
      </c>
      <c r="K146" t="s">
        <v>195</v>
      </c>
      <c r="M146">
        <v>8</v>
      </c>
      <c r="N146" s="6">
        <v>0</v>
      </c>
      <c r="Q146" s="2" t="s">
        <v>19</v>
      </c>
    </row>
    <row r="147" spans="1:17" ht="68" x14ac:dyDescent="0.2">
      <c r="A147" t="s">
        <v>189</v>
      </c>
      <c r="B147" t="s">
        <v>87</v>
      </c>
      <c r="C147" t="s">
        <v>16</v>
      </c>
      <c r="D147" s="3">
        <v>44323</v>
      </c>
      <c r="E147" s="1">
        <v>44323.383020833331</v>
      </c>
      <c r="F147" t="s">
        <v>17</v>
      </c>
      <c r="G147" t="s">
        <v>61</v>
      </c>
      <c r="H147" s="1">
        <v>44323.375</v>
      </c>
      <c r="I147" s="1">
        <v>44323.489583333336</v>
      </c>
      <c r="J147" s="4">
        <f t="shared" si="2"/>
        <v>0.11458333333575865</v>
      </c>
      <c r="K147" t="s">
        <v>206</v>
      </c>
      <c r="M147">
        <v>5</v>
      </c>
      <c r="N147" s="6">
        <v>0</v>
      </c>
      <c r="Q147" s="2" t="s">
        <v>19</v>
      </c>
    </row>
    <row r="148" spans="1:17" ht="68" x14ac:dyDescent="0.2">
      <c r="A148" t="s">
        <v>189</v>
      </c>
      <c r="B148" t="s">
        <v>87</v>
      </c>
      <c r="C148" t="s">
        <v>16</v>
      </c>
      <c r="D148" s="3">
        <v>44323</v>
      </c>
      <c r="E148" s="1">
        <v>44323.529513888891</v>
      </c>
      <c r="F148" t="s">
        <v>17</v>
      </c>
      <c r="G148" t="s">
        <v>67</v>
      </c>
      <c r="H148" s="1">
        <v>44323.510416666664</v>
      </c>
      <c r="I148" s="1">
        <v>44323.666666666664</v>
      </c>
      <c r="J148" s="4">
        <f t="shared" si="2"/>
        <v>0.15625</v>
      </c>
      <c r="K148" t="s">
        <v>207</v>
      </c>
      <c r="M148">
        <v>3</v>
      </c>
      <c r="N148" s="6">
        <v>0</v>
      </c>
      <c r="Q148" s="2" t="s">
        <v>19</v>
      </c>
    </row>
    <row r="149" spans="1:17" ht="68" x14ac:dyDescent="0.2">
      <c r="A149" t="s">
        <v>189</v>
      </c>
      <c r="B149" t="s">
        <v>87</v>
      </c>
      <c r="C149" t="s">
        <v>16</v>
      </c>
      <c r="D149" s="3">
        <v>44326</v>
      </c>
      <c r="E149" s="1">
        <v>44326.489490740743</v>
      </c>
      <c r="F149" t="s">
        <v>17</v>
      </c>
      <c r="G149" t="s">
        <v>63</v>
      </c>
      <c r="H149" s="1">
        <v>44326.375</v>
      </c>
      <c r="I149" s="1">
        <v>44326.489583333336</v>
      </c>
      <c r="J149" s="4">
        <f t="shared" si="2"/>
        <v>0.11458333333575865</v>
      </c>
      <c r="K149" t="s">
        <v>199</v>
      </c>
      <c r="M149">
        <v>41</v>
      </c>
      <c r="N149" s="6">
        <v>0</v>
      </c>
      <c r="Q149" s="2" t="s">
        <v>19</v>
      </c>
    </row>
    <row r="150" spans="1:17" ht="68" x14ac:dyDescent="0.2">
      <c r="A150" t="s">
        <v>189</v>
      </c>
      <c r="B150" t="s">
        <v>87</v>
      </c>
      <c r="C150" t="s">
        <v>16</v>
      </c>
      <c r="D150" s="3">
        <v>44326</v>
      </c>
      <c r="E150" s="1">
        <v>44326.648032407407</v>
      </c>
      <c r="F150" t="s">
        <v>17</v>
      </c>
      <c r="G150" t="s">
        <v>59</v>
      </c>
      <c r="H150" s="1">
        <v>44326.53125</v>
      </c>
      <c r="I150" s="1">
        <v>44326.666666666664</v>
      </c>
      <c r="J150" s="4">
        <f t="shared" si="2"/>
        <v>0.13541666666424135</v>
      </c>
      <c r="K150" t="s">
        <v>195</v>
      </c>
      <c r="M150">
        <v>14</v>
      </c>
      <c r="N150" s="6">
        <v>0</v>
      </c>
      <c r="Q150" s="2" t="s">
        <v>19</v>
      </c>
    </row>
    <row r="151" spans="1:17" ht="68" x14ac:dyDescent="0.2">
      <c r="A151" t="s">
        <v>189</v>
      </c>
      <c r="B151" t="s">
        <v>87</v>
      </c>
      <c r="C151" t="s">
        <v>16</v>
      </c>
      <c r="D151" s="3">
        <v>44326</v>
      </c>
      <c r="E151" s="1">
        <v>44326.657905092594</v>
      </c>
      <c r="F151" t="s">
        <v>17</v>
      </c>
      <c r="G151" t="s">
        <v>59</v>
      </c>
      <c r="H151" s="1">
        <v>44326.53125</v>
      </c>
      <c r="I151" s="1">
        <v>44326.666666666664</v>
      </c>
      <c r="J151" s="4">
        <f t="shared" si="2"/>
        <v>0.13541666666424135</v>
      </c>
      <c r="K151" t="s">
        <v>195</v>
      </c>
      <c r="M151">
        <v>0</v>
      </c>
      <c r="N151" s="6">
        <v>0</v>
      </c>
      <c r="Q151" s="2" t="s">
        <v>19</v>
      </c>
    </row>
    <row r="152" spans="1:17" ht="68" x14ac:dyDescent="0.2">
      <c r="A152" t="s">
        <v>189</v>
      </c>
      <c r="B152" t="s">
        <v>87</v>
      </c>
      <c r="C152" t="s">
        <v>16</v>
      </c>
      <c r="D152" s="3">
        <v>44327</v>
      </c>
      <c r="E152" s="1">
        <v>44327.389918981484</v>
      </c>
      <c r="F152" t="s">
        <v>17</v>
      </c>
      <c r="G152" t="s">
        <v>39</v>
      </c>
      <c r="H152" s="1">
        <v>44327.375</v>
      </c>
      <c r="I152" s="1">
        <v>44327.489583333336</v>
      </c>
      <c r="J152" s="4">
        <f t="shared" si="2"/>
        <v>0.11458333333575865</v>
      </c>
      <c r="K152" t="s">
        <v>190</v>
      </c>
      <c r="M152">
        <v>1</v>
      </c>
      <c r="N152" s="6">
        <v>0</v>
      </c>
      <c r="Q152" s="2" t="s">
        <v>19</v>
      </c>
    </row>
    <row r="153" spans="1:17" ht="68" x14ac:dyDescent="0.2">
      <c r="A153" t="s">
        <v>189</v>
      </c>
      <c r="B153" t="s">
        <v>87</v>
      </c>
      <c r="C153" t="s">
        <v>16</v>
      </c>
      <c r="D153" s="3">
        <v>44327</v>
      </c>
      <c r="E153" s="1">
        <v>44327.413460648146</v>
      </c>
      <c r="F153" t="s">
        <v>17</v>
      </c>
      <c r="G153" t="s">
        <v>39</v>
      </c>
      <c r="H153" s="1">
        <v>44327.375</v>
      </c>
      <c r="I153" s="1">
        <v>44327.489583333336</v>
      </c>
      <c r="J153" s="4">
        <f t="shared" si="2"/>
        <v>0.11458333333575865</v>
      </c>
      <c r="K153" t="s">
        <v>190</v>
      </c>
      <c r="M153">
        <v>1</v>
      </c>
      <c r="N153" s="6">
        <v>0</v>
      </c>
      <c r="Q153" s="2" t="s">
        <v>19</v>
      </c>
    </row>
    <row r="154" spans="1:17" ht="68" x14ac:dyDescent="0.2">
      <c r="A154" t="s">
        <v>189</v>
      </c>
      <c r="B154" t="s">
        <v>87</v>
      </c>
      <c r="C154" t="s">
        <v>16</v>
      </c>
      <c r="D154" s="3">
        <v>44327</v>
      </c>
      <c r="E154" s="1">
        <v>44327.413506944446</v>
      </c>
      <c r="F154" t="s">
        <v>17</v>
      </c>
      <c r="G154" t="s">
        <v>39</v>
      </c>
      <c r="H154" s="1">
        <v>44327.375</v>
      </c>
      <c r="I154" s="1">
        <v>44327.489583333336</v>
      </c>
      <c r="J154" s="4">
        <f t="shared" si="2"/>
        <v>0.11458333333575865</v>
      </c>
      <c r="K154" t="s">
        <v>190</v>
      </c>
      <c r="M154">
        <v>1</v>
      </c>
      <c r="N154" s="6">
        <v>0</v>
      </c>
      <c r="Q154" s="2" t="s">
        <v>19</v>
      </c>
    </row>
    <row r="155" spans="1:17" ht="68" x14ac:dyDescent="0.2">
      <c r="A155" t="s">
        <v>189</v>
      </c>
      <c r="B155" t="s">
        <v>87</v>
      </c>
      <c r="C155" t="s">
        <v>16</v>
      </c>
      <c r="D155" s="3">
        <v>44327</v>
      </c>
      <c r="E155" s="1">
        <v>44327.414317129631</v>
      </c>
      <c r="F155" t="s">
        <v>17</v>
      </c>
      <c r="G155" t="s">
        <v>39</v>
      </c>
      <c r="H155" s="1">
        <v>44327.375</v>
      </c>
      <c r="I155" s="1">
        <v>44327.489583333336</v>
      </c>
      <c r="J155" s="4">
        <f t="shared" si="2"/>
        <v>0.11458333333575865</v>
      </c>
      <c r="K155" t="s">
        <v>190</v>
      </c>
      <c r="M155">
        <v>1</v>
      </c>
      <c r="N155" s="6">
        <v>0</v>
      </c>
      <c r="Q155" s="2" t="s">
        <v>19</v>
      </c>
    </row>
    <row r="156" spans="1:17" ht="68" x14ac:dyDescent="0.2">
      <c r="A156" t="s">
        <v>189</v>
      </c>
      <c r="B156" t="s">
        <v>87</v>
      </c>
      <c r="C156" t="s">
        <v>16</v>
      </c>
      <c r="D156" s="3">
        <v>44327</v>
      </c>
      <c r="E156" s="1">
        <v>44327.415312500001</v>
      </c>
      <c r="F156" t="s">
        <v>17</v>
      </c>
      <c r="G156" t="s">
        <v>39</v>
      </c>
      <c r="H156" s="1">
        <v>44327.375</v>
      </c>
      <c r="I156" s="1">
        <v>44327.489583333336</v>
      </c>
      <c r="J156" s="4">
        <f t="shared" si="2"/>
        <v>0.11458333333575865</v>
      </c>
      <c r="K156" t="s">
        <v>190</v>
      </c>
      <c r="M156">
        <v>1</v>
      </c>
      <c r="N156" s="6">
        <v>0</v>
      </c>
      <c r="Q156" s="2" t="s">
        <v>19</v>
      </c>
    </row>
    <row r="157" spans="1:17" ht="68" x14ac:dyDescent="0.2">
      <c r="A157" t="s">
        <v>189</v>
      </c>
      <c r="B157" t="s">
        <v>87</v>
      </c>
      <c r="C157" t="s">
        <v>16</v>
      </c>
      <c r="D157" s="3">
        <v>44327</v>
      </c>
      <c r="E157" s="1">
        <v>44327.418113425927</v>
      </c>
      <c r="F157" t="s">
        <v>17</v>
      </c>
      <c r="G157" t="s">
        <v>39</v>
      </c>
      <c r="H157" s="1">
        <v>44327.375</v>
      </c>
      <c r="I157" s="1">
        <v>44327.489583333336</v>
      </c>
      <c r="J157" s="4">
        <f t="shared" si="2"/>
        <v>0.11458333333575865</v>
      </c>
      <c r="K157" t="s">
        <v>190</v>
      </c>
      <c r="M157">
        <v>8</v>
      </c>
      <c r="N157" s="6">
        <v>0</v>
      </c>
      <c r="Q157" s="2" t="s">
        <v>19</v>
      </c>
    </row>
    <row r="158" spans="1:17" ht="68" x14ac:dyDescent="0.2">
      <c r="A158" t="s">
        <v>189</v>
      </c>
      <c r="B158" t="s">
        <v>87</v>
      </c>
      <c r="C158" t="s">
        <v>16</v>
      </c>
      <c r="D158" s="3">
        <v>44327</v>
      </c>
      <c r="E158" s="1">
        <v>44327.47084490741</v>
      </c>
      <c r="F158" t="s">
        <v>17</v>
      </c>
      <c r="G158" t="s">
        <v>39</v>
      </c>
      <c r="H158" s="1">
        <v>44327.375</v>
      </c>
      <c r="I158" s="1">
        <v>44327.489583333336</v>
      </c>
      <c r="J158" s="4">
        <f t="shared" si="2"/>
        <v>0.11458333333575865</v>
      </c>
      <c r="K158" t="s">
        <v>190</v>
      </c>
      <c r="M158">
        <v>7</v>
      </c>
      <c r="N158" s="6">
        <v>0</v>
      </c>
      <c r="Q158" s="2" t="s">
        <v>19</v>
      </c>
    </row>
    <row r="159" spans="1:17" ht="68" x14ac:dyDescent="0.2">
      <c r="A159" t="s">
        <v>189</v>
      </c>
      <c r="B159" t="s">
        <v>87</v>
      </c>
      <c r="C159" t="s">
        <v>16</v>
      </c>
      <c r="D159" s="3">
        <v>44327</v>
      </c>
      <c r="E159" s="1">
        <v>44327.559016203704</v>
      </c>
      <c r="F159" t="s">
        <v>17</v>
      </c>
      <c r="G159" t="s">
        <v>68</v>
      </c>
      <c r="H159" s="1">
        <v>44327.541666666664</v>
      </c>
      <c r="I159" s="1">
        <v>44327.583333333336</v>
      </c>
      <c r="J159" s="4">
        <f t="shared" si="2"/>
        <v>4.1666666671517305E-2</v>
      </c>
      <c r="K159" t="s">
        <v>192</v>
      </c>
      <c r="M159">
        <v>6</v>
      </c>
      <c r="N159" s="6">
        <v>0</v>
      </c>
      <c r="Q159" s="2" t="s">
        <v>19</v>
      </c>
    </row>
    <row r="160" spans="1:17" ht="68" x14ac:dyDescent="0.2">
      <c r="A160" t="s">
        <v>189</v>
      </c>
      <c r="B160" t="s">
        <v>87</v>
      </c>
      <c r="C160" t="s">
        <v>16</v>
      </c>
      <c r="D160" s="3">
        <v>44328</v>
      </c>
      <c r="E160" s="1">
        <v>44328.657071759262</v>
      </c>
      <c r="F160" t="s">
        <v>17</v>
      </c>
      <c r="G160" t="s">
        <v>45</v>
      </c>
      <c r="H160" s="1">
        <v>44328.53125</v>
      </c>
      <c r="I160" s="1">
        <v>44328.666666666664</v>
      </c>
      <c r="J160" s="4">
        <f t="shared" si="2"/>
        <v>0.13541666666424135</v>
      </c>
      <c r="K160" t="s">
        <v>195</v>
      </c>
      <c r="M160">
        <v>18</v>
      </c>
      <c r="N160" s="6">
        <v>0</v>
      </c>
      <c r="Q160" s="2" t="s">
        <v>19</v>
      </c>
    </row>
    <row r="161" spans="1:17" ht="68" x14ac:dyDescent="0.2">
      <c r="A161" t="s">
        <v>189</v>
      </c>
      <c r="B161" t="s">
        <v>87</v>
      </c>
      <c r="C161" t="s">
        <v>16</v>
      </c>
      <c r="D161" s="3">
        <v>44334</v>
      </c>
      <c r="E161" s="1">
        <v>44334.486828703702</v>
      </c>
      <c r="F161" t="s">
        <v>17</v>
      </c>
      <c r="G161" t="s">
        <v>55</v>
      </c>
      <c r="H161" s="1">
        <v>44334.375</v>
      </c>
      <c r="I161" s="1">
        <v>44334.489583333336</v>
      </c>
      <c r="J161" s="4">
        <f t="shared" si="2"/>
        <v>0.11458333333575865</v>
      </c>
      <c r="K161" t="s">
        <v>200</v>
      </c>
      <c r="M161">
        <v>22</v>
      </c>
      <c r="N161" s="6">
        <v>0</v>
      </c>
      <c r="Q161" s="2" t="s">
        <v>19</v>
      </c>
    </row>
    <row r="162" spans="1:17" ht="68" x14ac:dyDescent="0.2">
      <c r="A162" t="s">
        <v>189</v>
      </c>
      <c r="B162" t="s">
        <v>87</v>
      </c>
      <c r="C162" t="s">
        <v>16</v>
      </c>
      <c r="D162" s="3">
        <v>44334</v>
      </c>
      <c r="E162" s="1">
        <v>44334.553402777776</v>
      </c>
      <c r="F162" t="s">
        <v>17</v>
      </c>
      <c r="G162" t="s">
        <v>69</v>
      </c>
      <c r="H162" s="1">
        <v>44334.541666666664</v>
      </c>
      <c r="I162" s="1">
        <v>44334.666666666664</v>
      </c>
      <c r="J162" s="4">
        <f t="shared" si="2"/>
        <v>0.125</v>
      </c>
      <c r="K162" t="s">
        <v>192</v>
      </c>
      <c r="M162">
        <v>19</v>
      </c>
      <c r="N162" s="6">
        <v>0</v>
      </c>
      <c r="Q162" s="2" t="s">
        <v>19</v>
      </c>
    </row>
    <row r="163" spans="1:17" ht="68" x14ac:dyDescent="0.2">
      <c r="A163" t="s">
        <v>189</v>
      </c>
      <c r="B163" t="s">
        <v>87</v>
      </c>
      <c r="C163" t="s">
        <v>16</v>
      </c>
      <c r="D163" s="3">
        <v>44335</v>
      </c>
      <c r="E163" s="1">
        <v>44335.383472222224</v>
      </c>
      <c r="F163" t="s">
        <v>17</v>
      </c>
      <c r="G163" t="s">
        <v>36</v>
      </c>
      <c r="H163" s="1">
        <v>44335.375</v>
      </c>
      <c r="I163" s="1">
        <v>44335.489583333336</v>
      </c>
      <c r="J163" s="4">
        <f t="shared" si="2"/>
        <v>0.11458333333575865</v>
      </c>
      <c r="K163" t="s">
        <v>197</v>
      </c>
      <c r="M163">
        <v>7</v>
      </c>
      <c r="N163" s="6">
        <v>0</v>
      </c>
      <c r="Q163" s="2" t="s">
        <v>19</v>
      </c>
    </row>
    <row r="164" spans="1:17" ht="68" x14ac:dyDescent="0.2">
      <c r="A164" t="s">
        <v>189</v>
      </c>
      <c r="B164" t="s">
        <v>87</v>
      </c>
      <c r="C164" t="s">
        <v>16</v>
      </c>
      <c r="D164" s="3">
        <v>44335</v>
      </c>
      <c r="E164" s="1">
        <v>44335.578148148146</v>
      </c>
      <c r="F164" t="s">
        <v>17</v>
      </c>
      <c r="G164" t="s">
        <v>70</v>
      </c>
      <c r="H164" s="1">
        <v>44335.53125</v>
      </c>
      <c r="I164" s="1">
        <v>44335.65625</v>
      </c>
      <c r="J164" s="4">
        <f t="shared" si="2"/>
        <v>0.125</v>
      </c>
      <c r="K164" t="s">
        <v>200</v>
      </c>
      <c r="M164">
        <v>10</v>
      </c>
      <c r="N164" s="6">
        <v>0</v>
      </c>
      <c r="Q164" s="2" t="s">
        <v>19</v>
      </c>
    </row>
    <row r="165" spans="1:17" ht="68" x14ac:dyDescent="0.2">
      <c r="A165" t="s">
        <v>189</v>
      </c>
      <c r="B165" t="s">
        <v>87</v>
      </c>
      <c r="C165" t="s">
        <v>16</v>
      </c>
      <c r="D165" s="3">
        <v>44336</v>
      </c>
      <c r="E165" s="1">
        <v>44336.48841435185</v>
      </c>
      <c r="F165" t="s">
        <v>17</v>
      </c>
      <c r="G165" t="s">
        <v>52</v>
      </c>
      <c r="H165" s="1">
        <v>44336.375</v>
      </c>
      <c r="I165" s="1">
        <v>44336.489583333336</v>
      </c>
      <c r="J165" s="4">
        <f t="shared" si="2"/>
        <v>0.11458333333575865</v>
      </c>
      <c r="K165" t="s">
        <v>200</v>
      </c>
      <c r="M165">
        <v>11</v>
      </c>
      <c r="N165" s="6">
        <v>0</v>
      </c>
      <c r="Q165" s="2" t="s">
        <v>19</v>
      </c>
    </row>
    <row r="166" spans="1:17" ht="68" x14ac:dyDescent="0.2">
      <c r="A166" t="s">
        <v>189</v>
      </c>
      <c r="B166" t="s">
        <v>87</v>
      </c>
      <c r="C166" t="s">
        <v>16</v>
      </c>
      <c r="D166" s="3">
        <v>44336</v>
      </c>
      <c r="E166" s="1">
        <v>44336.562384259261</v>
      </c>
      <c r="F166" t="s">
        <v>17</v>
      </c>
      <c r="G166" t="s">
        <v>59</v>
      </c>
      <c r="H166" s="1">
        <v>44336.53125</v>
      </c>
      <c r="I166" s="1">
        <v>44336.65625</v>
      </c>
      <c r="J166" s="4">
        <f t="shared" si="2"/>
        <v>0.125</v>
      </c>
      <c r="K166" t="s">
        <v>192</v>
      </c>
      <c r="M166">
        <v>2</v>
      </c>
      <c r="N166" s="6">
        <v>0</v>
      </c>
      <c r="Q166" s="2" t="s">
        <v>19</v>
      </c>
    </row>
    <row r="167" spans="1:17" ht="68" x14ac:dyDescent="0.2">
      <c r="A167" t="s">
        <v>189</v>
      </c>
      <c r="B167" t="s">
        <v>87</v>
      </c>
      <c r="C167" t="s">
        <v>16</v>
      </c>
      <c r="D167" s="3">
        <v>44337</v>
      </c>
      <c r="E167" s="1">
        <v>44337.485729166663</v>
      </c>
      <c r="F167" t="s">
        <v>17</v>
      </c>
      <c r="G167" t="s">
        <v>44</v>
      </c>
      <c r="H167" s="1">
        <v>44337.375</v>
      </c>
      <c r="I167" s="1">
        <v>44337.489583333336</v>
      </c>
      <c r="J167" s="4">
        <f t="shared" si="2"/>
        <v>0.11458333333575865</v>
      </c>
      <c r="K167" t="s">
        <v>199</v>
      </c>
      <c r="M167">
        <v>25</v>
      </c>
      <c r="N167" s="6">
        <v>0</v>
      </c>
      <c r="Q167" s="2" t="s">
        <v>19</v>
      </c>
    </row>
    <row r="168" spans="1:17" ht="68" x14ac:dyDescent="0.2">
      <c r="A168" t="s">
        <v>189</v>
      </c>
      <c r="B168" t="s">
        <v>87</v>
      </c>
      <c r="C168" t="s">
        <v>16</v>
      </c>
      <c r="D168" s="3">
        <v>44338</v>
      </c>
      <c r="E168" s="1">
        <v>44338.493506944447</v>
      </c>
      <c r="F168" t="s">
        <v>17</v>
      </c>
      <c r="G168" t="s">
        <v>47</v>
      </c>
      <c r="H168" s="1">
        <v>44338.375</v>
      </c>
      <c r="I168" s="1">
        <v>44338.489583333336</v>
      </c>
      <c r="J168" s="4">
        <f t="shared" si="2"/>
        <v>0.11458333333575865</v>
      </c>
      <c r="K168" t="s">
        <v>209</v>
      </c>
      <c r="M168">
        <v>8</v>
      </c>
      <c r="N168" s="6">
        <v>0</v>
      </c>
      <c r="Q168" s="2" t="s">
        <v>19</v>
      </c>
    </row>
    <row r="169" spans="1:17" ht="68" x14ac:dyDescent="0.2">
      <c r="A169" t="s">
        <v>189</v>
      </c>
      <c r="B169" t="s">
        <v>87</v>
      </c>
      <c r="C169" t="s">
        <v>16</v>
      </c>
      <c r="D169" s="3">
        <v>44338</v>
      </c>
      <c r="E169" s="1">
        <v>44338.548344907409</v>
      </c>
      <c r="F169" t="s">
        <v>17</v>
      </c>
      <c r="G169" t="s">
        <v>42</v>
      </c>
      <c r="H169" s="1">
        <v>44338.53125</v>
      </c>
      <c r="I169" s="1">
        <v>44338.645833333336</v>
      </c>
      <c r="J169" s="4">
        <f t="shared" si="2"/>
        <v>0.11458333333575865</v>
      </c>
      <c r="K169" t="s">
        <v>210</v>
      </c>
      <c r="M169">
        <v>15</v>
      </c>
      <c r="N169" s="6">
        <v>0</v>
      </c>
      <c r="Q169" s="2" t="s">
        <v>19</v>
      </c>
    </row>
    <row r="170" spans="1:17" ht="68" x14ac:dyDescent="0.2">
      <c r="A170" t="s">
        <v>189</v>
      </c>
      <c r="B170" t="s">
        <v>87</v>
      </c>
      <c r="C170" t="s">
        <v>16</v>
      </c>
      <c r="D170" s="3">
        <v>44340</v>
      </c>
      <c r="E170" s="1">
        <v>44340.498923611114</v>
      </c>
      <c r="F170" t="s">
        <v>17</v>
      </c>
      <c r="G170" t="s">
        <v>71</v>
      </c>
      <c r="H170" s="1">
        <v>44340.375</v>
      </c>
      <c r="I170" s="1">
        <v>44340.489583333336</v>
      </c>
      <c r="J170" s="4">
        <f t="shared" si="2"/>
        <v>0.11458333333575865</v>
      </c>
      <c r="K170" t="s">
        <v>211</v>
      </c>
      <c r="M170">
        <v>12</v>
      </c>
      <c r="N170" s="6">
        <v>0</v>
      </c>
      <c r="Q170" s="2" t="s">
        <v>19</v>
      </c>
    </row>
    <row r="171" spans="1:17" ht="68" x14ac:dyDescent="0.2">
      <c r="A171" t="s">
        <v>189</v>
      </c>
      <c r="B171" t="s">
        <v>87</v>
      </c>
      <c r="C171" t="s">
        <v>16</v>
      </c>
      <c r="D171" s="3">
        <v>44340</v>
      </c>
      <c r="E171" s="1">
        <v>44340.506562499999</v>
      </c>
      <c r="F171" t="s">
        <v>17</v>
      </c>
      <c r="G171" t="s">
        <v>71</v>
      </c>
      <c r="H171" s="1">
        <v>44340.375</v>
      </c>
      <c r="I171" s="1">
        <v>44340.489583333336</v>
      </c>
      <c r="J171" s="4">
        <f t="shared" si="2"/>
        <v>0.11458333333575865</v>
      </c>
      <c r="K171" t="s">
        <v>211</v>
      </c>
      <c r="M171">
        <v>2</v>
      </c>
      <c r="N171" s="6">
        <v>0</v>
      </c>
      <c r="Q171" s="2" t="s">
        <v>19</v>
      </c>
    </row>
    <row r="172" spans="1:17" ht="68" x14ac:dyDescent="0.2">
      <c r="A172" t="s">
        <v>189</v>
      </c>
      <c r="B172" t="s">
        <v>87</v>
      </c>
      <c r="C172" t="s">
        <v>16</v>
      </c>
      <c r="D172" s="3">
        <v>44340</v>
      </c>
      <c r="E172" s="1">
        <v>44340.510763888888</v>
      </c>
      <c r="F172" t="s">
        <v>17</v>
      </c>
      <c r="G172" t="s">
        <v>71</v>
      </c>
      <c r="H172" s="1">
        <v>44340.375</v>
      </c>
      <c r="I172" s="1">
        <v>44340.489583333336</v>
      </c>
      <c r="J172" s="4">
        <f t="shared" si="2"/>
        <v>0.11458333333575865</v>
      </c>
      <c r="K172" t="s">
        <v>211</v>
      </c>
      <c r="M172">
        <v>0</v>
      </c>
      <c r="N172" s="5" t="s">
        <v>144</v>
      </c>
      <c r="Q172" s="2" t="s">
        <v>19</v>
      </c>
    </row>
    <row r="173" spans="1:17" ht="68" x14ac:dyDescent="0.2">
      <c r="A173" t="s">
        <v>189</v>
      </c>
      <c r="B173" t="s">
        <v>87</v>
      </c>
      <c r="C173" t="s">
        <v>16</v>
      </c>
      <c r="D173" s="3">
        <v>44340</v>
      </c>
      <c r="E173" s="1">
        <v>44340.585439814815</v>
      </c>
      <c r="F173" t="s">
        <v>17</v>
      </c>
      <c r="G173" t="s">
        <v>56</v>
      </c>
      <c r="H173" s="1">
        <v>44340.53125</v>
      </c>
      <c r="I173" s="1">
        <v>44340.666666666664</v>
      </c>
      <c r="J173" s="4">
        <f t="shared" si="2"/>
        <v>0.13541666666424135</v>
      </c>
      <c r="K173" t="s">
        <v>200</v>
      </c>
      <c r="M173">
        <v>3</v>
      </c>
      <c r="N173" s="6">
        <v>0</v>
      </c>
      <c r="Q173" s="2" t="s">
        <v>19</v>
      </c>
    </row>
    <row r="174" spans="1:17" ht="68" x14ac:dyDescent="0.2">
      <c r="A174" t="s">
        <v>189</v>
      </c>
      <c r="B174" t="s">
        <v>87</v>
      </c>
      <c r="C174" t="s">
        <v>16</v>
      </c>
      <c r="D174" s="3">
        <v>44341</v>
      </c>
      <c r="E174" s="1">
        <v>44341.38790509259</v>
      </c>
      <c r="F174" t="s">
        <v>17</v>
      </c>
      <c r="G174" t="s">
        <v>55</v>
      </c>
      <c r="H174" s="1">
        <v>44341.383333333331</v>
      </c>
      <c r="I174" s="1">
        <v>44341.404166666667</v>
      </c>
      <c r="J174" s="4">
        <f t="shared" si="2"/>
        <v>2.0833333335758653E-2</v>
      </c>
      <c r="K174" t="s">
        <v>200</v>
      </c>
      <c r="M174">
        <v>6</v>
      </c>
      <c r="N174" s="6">
        <v>0</v>
      </c>
      <c r="Q174" s="2" t="s">
        <v>19</v>
      </c>
    </row>
    <row r="175" spans="1:17" ht="68" x14ac:dyDescent="0.2">
      <c r="A175" t="s">
        <v>189</v>
      </c>
      <c r="B175" t="s">
        <v>87</v>
      </c>
      <c r="C175" t="s">
        <v>16</v>
      </c>
      <c r="D175" s="3">
        <v>44341</v>
      </c>
      <c r="E175" s="1">
        <v>44341.438611111109</v>
      </c>
      <c r="F175" t="s">
        <v>17</v>
      </c>
      <c r="G175" t="s">
        <v>55</v>
      </c>
      <c r="H175" s="1">
        <v>44341.383333333331</v>
      </c>
      <c r="I175" s="1">
        <v>44341.404166666667</v>
      </c>
      <c r="J175" s="4">
        <f t="shared" si="2"/>
        <v>2.0833333335758653E-2</v>
      </c>
      <c r="K175" t="s">
        <v>200</v>
      </c>
      <c r="M175">
        <v>1</v>
      </c>
      <c r="N175" s="6">
        <v>0</v>
      </c>
      <c r="Q175" s="2" t="s">
        <v>19</v>
      </c>
    </row>
    <row r="176" spans="1:17" ht="68" x14ac:dyDescent="0.2">
      <c r="A176" t="s">
        <v>189</v>
      </c>
      <c r="B176" t="s">
        <v>87</v>
      </c>
      <c r="C176" t="s">
        <v>16</v>
      </c>
      <c r="D176" s="3">
        <v>44341</v>
      </c>
      <c r="E176" s="1">
        <v>44341.487870370373</v>
      </c>
      <c r="F176" t="s">
        <v>17</v>
      </c>
      <c r="G176" t="s">
        <v>55</v>
      </c>
      <c r="H176" s="1">
        <v>44341.383333333331</v>
      </c>
      <c r="I176" s="1">
        <v>44341.404166666667</v>
      </c>
      <c r="J176" s="4">
        <f t="shared" si="2"/>
        <v>2.0833333335758653E-2</v>
      </c>
      <c r="K176" t="s">
        <v>200</v>
      </c>
      <c r="M176">
        <v>12</v>
      </c>
      <c r="N176" s="6">
        <v>0</v>
      </c>
      <c r="Q176" s="2" t="s">
        <v>19</v>
      </c>
    </row>
    <row r="177" spans="1:17" ht="68" x14ac:dyDescent="0.2">
      <c r="A177" t="s">
        <v>189</v>
      </c>
      <c r="B177" t="s">
        <v>87</v>
      </c>
      <c r="C177" t="s">
        <v>16</v>
      </c>
      <c r="D177" s="3">
        <v>44341</v>
      </c>
      <c r="E177" s="1">
        <v>44341.553206018521</v>
      </c>
      <c r="F177" t="s">
        <v>17</v>
      </c>
      <c r="G177" t="s">
        <v>68</v>
      </c>
      <c r="H177" s="1">
        <v>44341.541666666664</v>
      </c>
      <c r="I177" s="1">
        <v>44341.666666666664</v>
      </c>
      <c r="J177" s="4">
        <f t="shared" si="2"/>
        <v>0.125</v>
      </c>
      <c r="K177" t="s">
        <v>192</v>
      </c>
      <c r="M177">
        <v>7</v>
      </c>
      <c r="N177" s="6">
        <v>0</v>
      </c>
      <c r="Q177" s="2" t="s">
        <v>19</v>
      </c>
    </row>
    <row r="178" spans="1:17" ht="68" x14ac:dyDescent="0.2">
      <c r="A178" t="s">
        <v>189</v>
      </c>
      <c r="B178" t="s">
        <v>87</v>
      </c>
      <c r="C178" t="s">
        <v>16</v>
      </c>
      <c r="D178" s="3">
        <v>44341</v>
      </c>
      <c r="E178" s="1">
        <v>44341.651585648149</v>
      </c>
      <c r="F178" t="s">
        <v>17</v>
      </c>
      <c r="G178" t="s">
        <v>68</v>
      </c>
      <c r="H178" s="1">
        <v>44341.541666666664</v>
      </c>
      <c r="I178" s="1">
        <v>44341.666666666664</v>
      </c>
      <c r="J178" s="4">
        <f t="shared" si="2"/>
        <v>0.125</v>
      </c>
      <c r="K178" t="s">
        <v>192</v>
      </c>
      <c r="M178">
        <v>1</v>
      </c>
      <c r="N178" s="6">
        <v>0</v>
      </c>
      <c r="Q178" s="2" t="s">
        <v>19</v>
      </c>
    </row>
    <row r="179" spans="1:17" ht="68" x14ac:dyDescent="0.2">
      <c r="A179" t="s">
        <v>189</v>
      </c>
      <c r="B179" t="s">
        <v>87</v>
      </c>
      <c r="C179" t="s">
        <v>16</v>
      </c>
      <c r="D179" s="3">
        <v>44342</v>
      </c>
      <c r="E179" s="1">
        <v>44342.493842592594</v>
      </c>
      <c r="F179" t="s">
        <v>17</v>
      </c>
      <c r="G179" t="s">
        <v>72</v>
      </c>
      <c r="H179" s="1">
        <v>44342.375</v>
      </c>
      <c r="I179" s="1">
        <v>44342.5</v>
      </c>
      <c r="J179" s="4">
        <f t="shared" si="2"/>
        <v>0.125</v>
      </c>
      <c r="K179" t="s">
        <v>212</v>
      </c>
      <c r="M179">
        <v>7</v>
      </c>
      <c r="N179" s="6">
        <v>0</v>
      </c>
      <c r="Q179" s="2" t="s">
        <v>19</v>
      </c>
    </row>
    <row r="180" spans="1:17" ht="68" x14ac:dyDescent="0.2">
      <c r="A180" t="s">
        <v>189</v>
      </c>
      <c r="B180" t="s">
        <v>87</v>
      </c>
      <c r="C180" t="s">
        <v>16</v>
      </c>
      <c r="D180" s="3">
        <v>44342</v>
      </c>
      <c r="E180" s="1">
        <v>44342.55201388889</v>
      </c>
      <c r="F180" t="s">
        <v>17</v>
      </c>
      <c r="G180" t="s">
        <v>35</v>
      </c>
      <c r="H180" s="1">
        <v>44342.53125</v>
      </c>
      <c r="I180" s="1">
        <v>44342.666666666664</v>
      </c>
      <c r="J180" s="4">
        <f t="shared" si="2"/>
        <v>0.13541666666424135</v>
      </c>
      <c r="K180" t="s">
        <v>200</v>
      </c>
      <c r="M180">
        <v>15</v>
      </c>
      <c r="N180" s="6">
        <v>0</v>
      </c>
      <c r="Q180" s="2" t="s">
        <v>19</v>
      </c>
    </row>
    <row r="181" spans="1:17" ht="68" x14ac:dyDescent="0.2">
      <c r="A181" t="s">
        <v>189</v>
      </c>
      <c r="B181" t="s">
        <v>87</v>
      </c>
      <c r="C181" t="s">
        <v>16</v>
      </c>
      <c r="D181" s="3">
        <v>44342</v>
      </c>
      <c r="E181" s="1">
        <v>44342.64744212963</v>
      </c>
      <c r="F181" t="s">
        <v>17</v>
      </c>
      <c r="G181" t="s">
        <v>35</v>
      </c>
      <c r="H181" s="1">
        <v>44342.53125</v>
      </c>
      <c r="I181" s="1">
        <v>44342.666666666664</v>
      </c>
      <c r="J181" s="4">
        <f t="shared" si="2"/>
        <v>0.13541666666424135</v>
      </c>
      <c r="K181" t="s">
        <v>200</v>
      </c>
      <c r="M181">
        <v>3</v>
      </c>
      <c r="N181" s="6">
        <v>0</v>
      </c>
      <c r="Q181" s="2" t="s">
        <v>19</v>
      </c>
    </row>
    <row r="182" spans="1:17" ht="68" x14ac:dyDescent="0.2">
      <c r="A182" t="s">
        <v>189</v>
      </c>
      <c r="B182" t="s">
        <v>87</v>
      </c>
      <c r="C182" t="s">
        <v>16</v>
      </c>
      <c r="D182" s="3">
        <v>44342</v>
      </c>
      <c r="E182" s="1">
        <v>44342.660555555558</v>
      </c>
      <c r="F182" t="s">
        <v>17</v>
      </c>
      <c r="G182" t="s">
        <v>35</v>
      </c>
      <c r="H182" s="1">
        <v>44342.53125</v>
      </c>
      <c r="I182" s="1">
        <v>44342.666666666664</v>
      </c>
      <c r="J182" s="4">
        <f t="shared" si="2"/>
        <v>0.13541666666424135</v>
      </c>
      <c r="K182" t="s">
        <v>200</v>
      </c>
      <c r="M182">
        <v>1</v>
      </c>
      <c r="N182" s="6">
        <v>0</v>
      </c>
      <c r="Q182" s="2" t="s">
        <v>19</v>
      </c>
    </row>
    <row r="183" spans="1:17" ht="68" x14ac:dyDescent="0.2">
      <c r="A183" t="s">
        <v>189</v>
      </c>
      <c r="B183" t="s">
        <v>87</v>
      </c>
      <c r="C183" t="s">
        <v>16</v>
      </c>
      <c r="D183" s="3">
        <v>44343</v>
      </c>
      <c r="E183" s="1">
        <v>44343.486261574071</v>
      </c>
      <c r="F183" t="s">
        <v>17</v>
      </c>
      <c r="G183" t="s">
        <v>73</v>
      </c>
      <c r="H183" s="1">
        <v>44343.375</v>
      </c>
      <c r="I183" s="1">
        <v>44343.489583333336</v>
      </c>
      <c r="J183" s="4">
        <f t="shared" si="2"/>
        <v>0.11458333333575865</v>
      </c>
      <c r="K183" t="s">
        <v>196</v>
      </c>
      <c r="M183">
        <v>9</v>
      </c>
      <c r="N183" s="6">
        <v>0</v>
      </c>
      <c r="Q183" s="2" t="s">
        <v>19</v>
      </c>
    </row>
    <row r="184" spans="1:17" ht="68" x14ac:dyDescent="0.2">
      <c r="A184" t="s">
        <v>189</v>
      </c>
      <c r="B184" t="s">
        <v>87</v>
      </c>
      <c r="C184" t="s">
        <v>16</v>
      </c>
      <c r="D184" s="3">
        <v>44344</v>
      </c>
      <c r="E184" s="1">
        <v>44344.488287037035</v>
      </c>
      <c r="F184" t="s">
        <v>17</v>
      </c>
      <c r="G184" t="s">
        <v>53</v>
      </c>
      <c r="H184" s="1">
        <v>44344.375</v>
      </c>
      <c r="I184" s="1">
        <v>44344.489583333336</v>
      </c>
      <c r="J184" s="4">
        <f t="shared" si="2"/>
        <v>0.11458333333575865</v>
      </c>
      <c r="K184" t="s">
        <v>199</v>
      </c>
      <c r="M184">
        <v>6</v>
      </c>
      <c r="N184" s="6">
        <v>0</v>
      </c>
      <c r="Q184" s="2" t="s">
        <v>19</v>
      </c>
    </row>
    <row r="185" spans="1:17" ht="68" x14ac:dyDescent="0.2">
      <c r="A185" t="s">
        <v>189</v>
      </c>
      <c r="B185" t="s">
        <v>87</v>
      </c>
      <c r="C185" t="s">
        <v>16</v>
      </c>
      <c r="D185" s="3">
        <v>44344</v>
      </c>
      <c r="E185" s="1">
        <v>44344.542523148149</v>
      </c>
      <c r="F185" t="s">
        <v>17</v>
      </c>
      <c r="G185" t="s">
        <v>35</v>
      </c>
      <c r="H185" s="1">
        <v>44344.53125</v>
      </c>
      <c r="I185" s="1">
        <v>44344.552083333336</v>
      </c>
      <c r="J185" s="4">
        <f t="shared" si="2"/>
        <v>2.0833333335758653E-2</v>
      </c>
      <c r="K185" t="s">
        <v>219</v>
      </c>
      <c r="M185">
        <v>2</v>
      </c>
      <c r="N185" s="6">
        <v>0</v>
      </c>
      <c r="Q185" s="2" t="s">
        <v>19</v>
      </c>
    </row>
    <row r="186" spans="1:17" ht="68" x14ac:dyDescent="0.2">
      <c r="A186" t="s">
        <v>189</v>
      </c>
      <c r="B186" t="s">
        <v>87</v>
      </c>
      <c r="C186" t="s">
        <v>16</v>
      </c>
      <c r="D186" s="3">
        <v>44348</v>
      </c>
      <c r="E186" s="1">
        <v>44348.490613425929</v>
      </c>
      <c r="F186" t="s">
        <v>17</v>
      </c>
      <c r="G186" t="s">
        <v>53</v>
      </c>
      <c r="H186" s="1">
        <v>44348.378472222219</v>
      </c>
      <c r="I186" s="1">
        <v>44348.490972222222</v>
      </c>
      <c r="J186" s="4">
        <f t="shared" si="2"/>
        <v>0.11250000000291038</v>
      </c>
      <c r="K186" t="s">
        <v>213</v>
      </c>
      <c r="M186">
        <v>9</v>
      </c>
      <c r="N186" s="6">
        <v>0</v>
      </c>
      <c r="O186" t="s">
        <v>88</v>
      </c>
      <c r="P186" t="s">
        <v>89</v>
      </c>
      <c r="Q186" s="2" t="s">
        <v>19</v>
      </c>
    </row>
    <row r="187" spans="1:17" ht="68" x14ac:dyDescent="0.2">
      <c r="A187" t="s">
        <v>189</v>
      </c>
      <c r="B187" t="s">
        <v>87</v>
      </c>
      <c r="C187" t="s">
        <v>16</v>
      </c>
      <c r="D187" s="3">
        <v>44348</v>
      </c>
      <c r="E187" s="1">
        <v>44348.490833333337</v>
      </c>
      <c r="F187" t="s">
        <v>17</v>
      </c>
      <c r="G187" t="s">
        <v>53</v>
      </c>
      <c r="H187" s="1">
        <v>44348.378472222219</v>
      </c>
      <c r="I187" s="1">
        <v>44348.490972222222</v>
      </c>
      <c r="J187" s="4">
        <f t="shared" si="2"/>
        <v>0.11250000000291038</v>
      </c>
      <c r="K187" t="s">
        <v>213</v>
      </c>
      <c r="M187">
        <v>0</v>
      </c>
      <c r="N187" s="5" t="s">
        <v>144</v>
      </c>
      <c r="Q187" s="2" t="s">
        <v>19</v>
      </c>
    </row>
    <row r="188" spans="1:17" ht="68" x14ac:dyDescent="0.2">
      <c r="A188" t="s">
        <v>189</v>
      </c>
      <c r="B188" t="s">
        <v>87</v>
      </c>
      <c r="C188" t="s">
        <v>16</v>
      </c>
      <c r="D188" s="3">
        <v>44348</v>
      </c>
      <c r="E188" s="1">
        <v>44348.644108796296</v>
      </c>
      <c r="F188" t="s">
        <v>17</v>
      </c>
      <c r="G188" t="s">
        <v>74</v>
      </c>
      <c r="H188" s="1">
        <v>44348.541666666664</v>
      </c>
      <c r="I188" s="1">
        <v>44348.645833333336</v>
      </c>
      <c r="J188" s="4">
        <f t="shared" si="2"/>
        <v>0.10416666667151731</v>
      </c>
      <c r="K188" t="s">
        <v>192</v>
      </c>
      <c r="M188">
        <v>0</v>
      </c>
      <c r="N188" s="6">
        <v>0</v>
      </c>
      <c r="Q188" s="2" t="s">
        <v>19</v>
      </c>
    </row>
    <row r="189" spans="1:17" ht="68" x14ac:dyDescent="0.2">
      <c r="A189" t="s">
        <v>189</v>
      </c>
      <c r="B189" t="s">
        <v>87</v>
      </c>
      <c r="C189" t="s">
        <v>16</v>
      </c>
      <c r="D189" s="3">
        <v>44348</v>
      </c>
      <c r="E189" s="1">
        <v>44348.667314814818</v>
      </c>
      <c r="F189" t="s">
        <v>17</v>
      </c>
      <c r="G189" t="s">
        <v>75</v>
      </c>
      <c r="H189" s="1">
        <v>44348.645833333336</v>
      </c>
      <c r="I189" s="1">
        <v>44348.666666666664</v>
      </c>
      <c r="J189" s="4">
        <f t="shared" si="2"/>
        <v>2.0833333328482695E-2</v>
      </c>
      <c r="K189" t="s">
        <v>214</v>
      </c>
      <c r="M189">
        <v>0</v>
      </c>
      <c r="N189" s="6">
        <v>0</v>
      </c>
      <c r="Q189" s="2" t="s">
        <v>19</v>
      </c>
    </row>
    <row r="190" spans="1:17" ht="68" x14ac:dyDescent="0.2">
      <c r="A190" t="s">
        <v>189</v>
      </c>
      <c r="B190" t="s">
        <v>87</v>
      </c>
      <c r="C190" t="s">
        <v>16</v>
      </c>
      <c r="D190" s="3">
        <v>44349</v>
      </c>
      <c r="E190" s="1">
        <v>44349.643009259256</v>
      </c>
      <c r="F190" t="s">
        <v>17</v>
      </c>
      <c r="G190" t="s">
        <v>37</v>
      </c>
      <c r="H190" s="1">
        <v>44349.53125</v>
      </c>
      <c r="I190" s="1">
        <v>44349.645833333336</v>
      </c>
      <c r="J190" s="4">
        <f t="shared" si="2"/>
        <v>0.11458333333575865</v>
      </c>
      <c r="K190" t="s">
        <v>192</v>
      </c>
      <c r="M190">
        <v>1</v>
      </c>
      <c r="N190" s="6">
        <v>0</v>
      </c>
      <c r="Q190" s="2" t="s">
        <v>19</v>
      </c>
    </row>
    <row r="191" spans="1:17" ht="68" x14ac:dyDescent="0.2">
      <c r="A191" t="s">
        <v>189</v>
      </c>
      <c r="B191" t="s">
        <v>87</v>
      </c>
      <c r="C191" t="s">
        <v>16</v>
      </c>
      <c r="D191" s="3">
        <v>44350</v>
      </c>
      <c r="E191" s="1">
        <v>44350.469930555555</v>
      </c>
      <c r="F191" t="s">
        <v>17</v>
      </c>
      <c r="G191" t="s">
        <v>77</v>
      </c>
      <c r="H191" s="1">
        <v>44350.333333333336</v>
      </c>
      <c r="I191" s="1">
        <v>44350.479166666664</v>
      </c>
      <c r="J191" s="4">
        <f t="shared" si="2"/>
        <v>0.14583333332848269</v>
      </c>
      <c r="K191" t="s">
        <v>191</v>
      </c>
      <c r="M191">
        <v>0</v>
      </c>
      <c r="N191" s="6">
        <v>0</v>
      </c>
      <c r="Q191" s="2" t="s">
        <v>19</v>
      </c>
    </row>
    <row r="192" spans="1:17" ht="68" x14ac:dyDescent="0.2">
      <c r="A192" t="s">
        <v>189</v>
      </c>
      <c r="B192" t="s">
        <v>87</v>
      </c>
      <c r="C192" t="s">
        <v>16</v>
      </c>
      <c r="D192" s="3">
        <v>44351</v>
      </c>
      <c r="E192" s="1">
        <v>44351.488923611112</v>
      </c>
      <c r="F192" t="s">
        <v>17</v>
      </c>
      <c r="G192" t="s">
        <v>63</v>
      </c>
      <c r="H192" s="1">
        <v>44351.375</v>
      </c>
      <c r="I192" s="1">
        <v>44351.489583333336</v>
      </c>
      <c r="J192" s="4">
        <f t="shared" si="2"/>
        <v>0.11458333333575865</v>
      </c>
      <c r="K192" t="s">
        <v>199</v>
      </c>
      <c r="M192">
        <v>26</v>
      </c>
      <c r="N192" s="6">
        <v>0</v>
      </c>
      <c r="Q192" s="2" t="s">
        <v>19</v>
      </c>
    </row>
    <row r="193" spans="1:17" ht="68" x14ac:dyDescent="0.2">
      <c r="A193" t="s">
        <v>189</v>
      </c>
      <c r="B193" t="s">
        <v>87</v>
      </c>
      <c r="C193" t="s">
        <v>16</v>
      </c>
      <c r="D193" s="3">
        <v>44351</v>
      </c>
      <c r="E193" s="1">
        <v>44351.658368055556</v>
      </c>
      <c r="F193" t="s">
        <v>17</v>
      </c>
      <c r="G193" t="s">
        <v>45</v>
      </c>
      <c r="H193" s="1">
        <v>44351.53125</v>
      </c>
      <c r="I193" s="1">
        <v>44351.666666666664</v>
      </c>
      <c r="J193" s="4">
        <f t="shared" si="2"/>
        <v>0.13541666666424135</v>
      </c>
      <c r="K193" t="s">
        <v>195</v>
      </c>
      <c r="M193">
        <v>8</v>
      </c>
      <c r="N193" s="6">
        <v>0</v>
      </c>
      <c r="Q193" s="2" t="s">
        <v>19</v>
      </c>
    </row>
    <row r="194" spans="1:17" ht="68" x14ac:dyDescent="0.2">
      <c r="A194" t="s">
        <v>189</v>
      </c>
      <c r="B194" t="s">
        <v>87</v>
      </c>
      <c r="C194" t="s">
        <v>16</v>
      </c>
      <c r="D194" s="3">
        <v>44354</v>
      </c>
      <c r="E194" s="1">
        <v>44354.489166666666</v>
      </c>
      <c r="F194" t="s">
        <v>17</v>
      </c>
      <c r="G194" t="s">
        <v>78</v>
      </c>
      <c r="H194" s="1">
        <v>44354.375</v>
      </c>
      <c r="I194" s="1">
        <v>44354.489583333336</v>
      </c>
      <c r="J194" s="4">
        <f t="shared" si="2"/>
        <v>0.11458333333575865</v>
      </c>
      <c r="K194" t="s">
        <v>215</v>
      </c>
      <c r="M194">
        <v>8</v>
      </c>
      <c r="N194" s="6">
        <v>0</v>
      </c>
      <c r="Q194" s="2" t="s">
        <v>19</v>
      </c>
    </row>
    <row r="195" spans="1:17" ht="68" x14ac:dyDescent="0.2">
      <c r="A195" t="s">
        <v>189</v>
      </c>
      <c r="B195" t="s">
        <v>87</v>
      </c>
      <c r="C195" t="s">
        <v>16</v>
      </c>
      <c r="D195" s="3">
        <v>44354</v>
      </c>
      <c r="E195" s="1">
        <v>44354.56040509259</v>
      </c>
      <c r="F195" t="s">
        <v>17</v>
      </c>
      <c r="G195" t="s">
        <v>79</v>
      </c>
      <c r="H195" s="1">
        <v>44354.530555555553</v>
      </c>
      <c r="I195" s="1">
        <v>44354.645833333336</v>
      </c>
      <c r="J195" s="4">
        <f t="shared" ref="J195:J258" si="3">IF($I195="","",$I195-$H195)</f>
        <v>0.11527777778246673</v>
      </c>
      <c r="K195" t="s">
        <v>200</v>
      </c>
      <c r="M195">
        <v>4</v>
      </c>
      <c r="N195" s="6">
        <v>0</v>
      </c>
      <c r="Q195" s="2" t="s">
        <v>19</v>
      </c>
    </row>
    <row r="196" spans="1:17" ht="68" x14ac:dyDescent="0.2">
      <c r="A196" t="s">
        <v>189</v>
      </c>
      <c r="B196" t="s">
        <v>87</v>
      </c>
      <c r="C196" t="s">
        <v>16</v>
      </c>
      <c r="D196" s="3">
        <v>44355</v>
      </c>
      <c r="E196" s="1">
        <v>44355.487754629627</v>
      </c>
      <c r="F196" t="s">
        <v>17</v>
      </c>
      <c r="G196" t="s">
        <v>80</v>
      </c>
      <c r="H196" s="1">
        <v>44355.375</v>
      </c>
      <c r="I196" s="1">
        <v>44355.489583333336</v>
      </c>
      <c r="J196" s="4">
        <f t="shared" si="3"/>
        <v>0.11458333333575865</v>
      </c>
      <c r="K196" t="s">
        <v>216</v>
      </c>
      <c r="M196">
        <v>21</v>
      </c>
      <c r="N196" s="6">
        <v>0</v>
      </c>
      <c r="Q196" s="2" t="s">
        <v>19</v>
      </c>
    </row>
    <row r="197" spans="1:17" ht="68" x14ac:dyDescent="0.2">
      <c r="A197" t="s">
        <v>189</v>
      </c>
      <c r="B197" t="s">
        <v>87</v>
      </c>
      <c r="C197" t="s">
        <v>16</v>
      </c>
      <c r="D197" s="3">
        <v>44355</v>
      </c>
      <c r="E197" s="1">
        <v>44355.573437500003</v>
      </c>
      <c r="F197" t="s">
        <v>17</v>
      </c>
      <c r="G197" t="s">
        <v>48</v>
      </c>
      <c r="H197" s="1">
        <v>44355.541666666664</v>
      </c>
      <c r="I197" s="1">
        <v>44355.666666666664</v>
      </c>
      <c r="J197" s="4">
        <f t="shared" si="3"/>
        <v>0.125</v>
      </c>
      <c r="K197" t="s">
        <v>192</v>
      </c>
      <c r="M197">
        <v>2</v>
      </c>
      <c r="N197" s="6">
        <v>0</v>
      </c>
      <c r="Q197" s="2" t="s">
        <v>19</v>
      </c>
    </row>
    <row r="198" spans="1:17" ht="68" x14ac:dyDescent="0.2">
      <c r="A198" t="s">
        <v>189</v>
      </c>
      <c r="B198" t="s">
        <v>87</v>
      </c>
      <c r="C198" t="s">
        <v>16</v>
      </c>
      <c r="D198" s="3">
        <v>44356</v>
      </c>
      <c r="E198" s="1">
        <v>44356.484872685185</v>
      </c>
      <c r="F198" t="s">
        <v>17</v>
      </c>
      <c r="G198" t="s">
        <v>78</v>
      </c>
      <c r="H198" s="1">
        <v>44356.375</v>
      </c>
      <c r="I198" s="1">
        <v>44356.489583333336</v>
      </c>
      <c r="J198" s="4">
        <f t="shared" si="3"/>
        <v>0.11458333333575865</v>
      </c>
      <c r="K198" t="s">
        <v>197</v>
      </c>
      <c r="M198">
        <v>3</v>
      </c>
      <c r="N198" s="6">
        <v>0</v>
      </c>
      <c r="Q198" s="2" t="s">
        <v>19</v>
      </c>
    </row>
    <row r="199" spans="1:17" ht="68" x14ac:dyDescent="0.2">
      <c r="A199" t="s">
        <v>189</v>
      </c>
      <c r="B199" t="s">
        <v>87</v>
      </c>
      <c r="C199" t="s">
        <v>16</v>
      </c>
      <c r="D199" s="3">
        <v>44356</v>
      </c>
      <c r="E199" s="1">
        <v>44356.610266203701</v>
      </c>
      <c r="F199" t="s">
        <v>17</v>
      </c>
      <c r="G199" t="s">
        <v>58</v>
      </c>
      <c r="H199" s="1">
        <v>44356.54791666667</v>
      </c>
      <c r="I199" s="1">
        <v>44356.666666666664</v>
      </c>
      <c r="J199" s="4">
        <f t="shared" si="3"/>
        <v>0.11874999999417923</v>
      </c>
      <c r="K199" t="s">
        <v>200</v>
      </c>
      <c r="M199">
        <v>4</v>
      </c>
      <c r="N199" s="6">
        <v>0</v>
      </c>
      <c r="Q199" s="2" t="s">
        <v>19</v>
      </c>
    </row>
    <row r="200" spans="1:17" ht="68" x14ac:dyDescent="0.2">
      <c r="A200" t="s">
        <v>189</v>
      </c>
      <c r="B200" t="s">
        <v>87</v>
      </c>
      <c r="C200" t="s">
        <v>16</v>
      </c>
      <c r="D200" s="3">
        <v>44356</v>
      </c>
      <c r="E200" s="1">
        <v>44356.628611111111</v>
      </c>
      <c r="F200" t="s">
        <v>17</v>
      </c>
      <c r="G200" t="s">
        <v>58</v>
      </c>
      <c r="H200" s="1">
        <v>44356.54791666667</v>
      </c>
      <c r="I200" s="1">
        <v>44356.666666666664</v>
      </c>
      <c r="J200" s="4">
        <f t="shared" si="3"/>
        <v>0.11874999999417923</v>
      </c>
      <c r="K200" t="s">
        <v>200</v>
      </c>
      <c r="M200">
        <v>2</v>
      </c>
      <c r="N200" s="6">
        <v>0</v>
      </c>
      <c r="Q200" s="2" t="s">
        <v>19</v>
      </c>
    </row>
    <row r="201" spans="1:17" ht="68" x14ac:dyDescent="0.2">
      <c r="A201" t="s">
        <v>189</v>
      </c>
      <c r="B201" t="s">
        <v>87</v>
      </c>
      <c r="C201" t="s">
        <v>16</v>
      </c>
      <c r="D201" s="3">
        <v>44357</v>
      </c>
      <c r="E201" s="1">
        <v>44357.41138888889</v>
      </c>
      <c r="F201" t="s">
        <v>17</v>
      </c>
      <c r="G201" t="s">
        <v>81</v>
      </c>
      <c r="H201" s="1">
        <v>44357.333333333336</v>
      </c>
      <c r="I201" s="1">
        <v>44357.479166666664</v>
      </c>
      <c r="J201" s="4">
        <f t="shared" si="3"/>
        <v>0.14583333332848269</v>
      </c>
      <c r="K201" t="s">
        <v>217</v>
      </c>
      <c r="M201">
        <v>1</v>
      </c>
      <c r="N201" s="6">
        <v>0</v>
      </c>
      <c r="Q201" s="2" t="s">
        <v>19</v>
      </c>
    </row>
    <row r="202" spans="1:17" ht="68" x14ac:dyDescent="0.2">
      <c r="A202" t="s">
        <v>189</v>
      </c>
      <c r="B202" t="s">
        <v>87</v>
      </c>
      <c r="C202" t="s">
        <v>16</v>
      </c>
      <c r="D202" s="3">
        <v>44358</v>
      </c>
      <c r="E202" s="1">
        <v>44358.489606481482</v>
      </c>
      <c r="F202" t="s">
        <v>17</v>
      </c>
      <c r="G202" t="s">
        <v>53</v>
      </c>
      <c r="H202" s="1">
        <v>44358.375</v>
      </c>
      <c r="I202" s="1">
        <v>44358.489583333336</v>
      </c>
      <c r="J202" s="4">
        <f t="shared" si="3"/>
        <v>0.11458333333575865</v>
      </c>
      <c r="K202" t="s">
        <v>199</v>
      </c>
      <c r="M202">
        <v>8</v>
      </c>
      <c r="N202" s="6">
        <v>0</v>
      </c>
      <c r="Q202" s="2" t="s">
        <v>19</v>
      </c>
    </row>
    <row r="203" spans="1:17" ht="68" x14ac:dyDescent="0.2">
      <c r="A203" t="s">
        <v>189</v>
      </c>
      <c r="B203" t="s">
        <v>87</v>
      </c>
      <c r="C203" t="s">
        <v>16</v>
      </c>
      <c r="D203" s="3">
        <v>44358</v>
      </c>
      <c r="E203" s="1">
        <v>44358.62159722222</v>
      </c>
      <c r="F203" t="s">
        <v>17</v>
      </c>
      <c r="G203" t="s">
        <v>82</v>
      </c>
      <c r="H203" s="1">
        <v>44358.53125</v>
      </c>
      <c r="I203" s="1">
        <v>44358.645833333336</v>
      </c>
      <c r="J203" s="4">
        <f t="shared" si="3"/>
        <v>0.11458333333575865</v>
      </c>
      <c r="K203" t="s">
        <v>200</v>
      </c>
      <c r="M203">
        <v>10</v>
      </c>
      <c r="N203" s="6">
        <v>0</v>
      </c>
      <c r="Q203" s="2" t="s">
        <v>19</v>
      </c>
    </row>
    <row r="204" spans="1:17" ht="68" x14ac:dyDescent="0.2">
      <c r="A204" t="s">
        <v>189</v>
      </c>
      <c r="B204" t="s">
        <v>87</v>
      </c>
      <c r="C204" t="s">
        <v>16</v>
      </c>
      <c r="D204" s="3">
        <v>44358</v>
      </c>
      <c r="E204" s="1">
        <v>44358.63175925926</v>
      </c>
      <c r="F204" t="s">
        <v>17</v>
      </c>
      <c r="G204" t="s">
        <v>82</v>
      </c>
      <c r="H204" s="1">
        <v>44358.53125</v>
      </c>
      <c r="I204" s="1">
        <v>44358.645833333336</v>
      </c>
      <c r="J204" s="4">
        <f t="shared" si="3"/>
        <v>0.11458333333575865</v>
      </c>
      <c r="K204" t="s">
        <v>200</v>
      </c>
      <c r="M204">
        <v>1</v>
      </c>
      <c r="N204" s="6">
        <v>0</v>
      </c>
      <c r="Q204" s="2" t="s">
        <v>19</v>
      </c>
    </row>
    <row r="205" spans="1:17" ht="68" x14ac:dyDescent="0.2">
      <c r="A205" t="s">
        <v>189</v>
      </c>
      <c r="B205" t="s">
        <v>87</v>
      </c>
      <c r="C205" t="s">
        <v>16</v>
      </c>
      <c r="D205" s="3">
        <v>44361</v>
      </c>
      <c r="E205" s="1">
        <v>44361.487314814818</v>
      </c>
      <c r="F205" t="s">
        <v>17</v>
      </c>
      <c r="G205" t="s">
        <v>46</v>
      </c>
      <c r="H205" s="1">
        <v>44361.375</v>
      </c>
      <c r="I205" s="1">
        <v>44361.489583333336</v>
      </c>
      <c r="J205" s="4">
        <f t="shared" si="3"/>
        <v>0.11458333333575865</v>
      </c>
      <c r="K205" t="s">
        <v>199</v>
      </c>
      <c r="M205">
        <v>4</v>
      </c>
      <c r="N205" s="6">
        <v>0</v>
      </c>
      <c r="Q205" s="2" t="s">
        <v>19</v>
      </c>
    </row>
    <row r="206" spans="1:17" ht="68" x14ac:dyDescent="0.2">
      <c r="A206" t="s">
        <v>189</v>
      </c>
      <c r="B206" t="s">
        <v>87</v>
      </c>
      <c r="C206" t="s">
        <v>16</v>
      </c>
      <c r="D206" s="3">
        <v>44361</v>
      </c>
      <c r="E206" s="1">
        <v>44361.630231481482</v>
      </c>
      <c r="F206" t="s">
        <v>17</v>
      </c>
      <c r="G206" t="s">
        <v>35</v>
      </c>
      <c r="H206" s="1">
        <v>44361.537499999999</v>
      </c>
      <c r="I206" s="1">
        <v>44361.645833333336</v>
      </c>
      <c r="J206" s="4">
        <f t="shared" si="3"/>
        <v>0.10833333333721384</v>
      </c>
      <c r="K206" t="s">
        <v>200</v>
      </c>
      <c r="M206">
        <v>3</v>
      </c>
      <c r="N206" s="6">
        <v>0</v>
      </c>
      <c r="Q206" s="2" t="s">
        <v>19</v>
      </c>
    </row>
    <row r="207" spans="1:17" ht="68" x14ac:dyDescent="0.2">
      <c r="A207" t="s">
        <v>189</v>
      </c>
      <c r="B207" t="s">
        <v>87</v>
      </c>
      <c r="C207" t="s">
        <v>16</v>
      </c>
      <c r="D207" s="3">
        <v>44363</v>
      </c>
      <c r="E207" s="1">
        <v>44363.662638888891</v>
      </c>
      <c r="F207" t="s">
        <v>17</v>
      </c>
      <c r="G207" t="s">
        <v>79</v>
      </c>
      <c r="H207" s="1">
        <v>44363.53125</v>
      </c>
      <c r="I207" s="1">
        <v>44363.666666666664</v>
      </c>
      <c r="J207" s="4">
        <f t="shared" si="3"/>
        <v>0.13541666666424135</v>
      </c>
      <c r="K207" t="s">
        <v>200</v>
      </c>
      <c r="M207">
        <v>1</v>
      </c>
      <c r="N207" s="6">
        <v>0</v>
      </c>
      <c r="Q207" s="2" t="s">
        <v>19</v>
      </c>
    </row>
    <row r="208" spans="1:17" ht="68" x14ac:dyDescent="0.2">
      <c r="A208" t="s">
        <v>189</v>
      </c>
      <c r="B208" t="s">
        <v>87</v>
      </c>
      <c r="C208" t="s">
        <v>16</v>
      </c>
      <c r="D208" s="3">
        <v>44364</v>
      </c>
      <c r="E208" s="1">
        <v>44364.491712962961</v>
      </c>
      <c r="F208" t="s">
        <v>17</v>
      </c>
      <c r="G208" t="s">
        <v>77</v>
      </c>
      <c r="H208" s="1">
        <v>44364.333333333336</v>
      </c>
      <c r="I208" s="1">
        <v>44364.479166666664</v>
      </c>
      <c r="J208" s="4">
        <f t="shared" si="3"/>
        <v>0.14583333332848269</v>
      </c>
      <c r="K208" t="s">
        <v>217</v>
      </c>
      <c r="M208">
        <v>0</v>
      </c>
      <c r="N208" s="6">
        <v>0</v>
      </c>
      <c r="Q208" s="2" t="s">
        <v>19</v>
      </c>
    </row>
    <row r="209" spans="1:17" ht="68" x14ac:dyDescent="0.2">
      <c r="A209" t="s">
        <v>189</v>
      </c>
      <c r="B209" t="s">
        <v>87</v>
      </c>
      <c r="C209" t="s">
        <v>16</v>
      </c>
      <c r="D209" s="3">
        <v>44365</v>
      </c>
      <c r="E209" s="1">
        <v>44365.490381944444</v>
      </c>
      <c r="F209" t="s">
        <v>17</v>
      </c>
      <c r="G209" t="s">
        <v>64</v>
      </c>
      <c r="H209" s="1">
        <v>44365.375</v>
      </c>
      <c r="I209" s="1">
        <v>44365.489583333336</v>
      </c>
      <c r="J209" s="4">
        <f t="shared" si="3"/>
        <v>0.11458333333575865</v>
      </c>
      <c r="K209" t="s">
        <v>218</v>
      </c>
      <c r="M209">
        <v>9</v>
      </c>
      <c r="N209" s="6">
        <v>0</v>
      </c>
      <c r="Q209" s="2" t="s">
        <v>19</v>
      </c>
    </row>
    <row r="210" spans="1:17" ht="68" x14ac:dyDescent="0.2">
      <c r="A210" t="s">
        <v>189</v>
      </c>
      <c r="B210" t="s">
        <v>87</v>
      </c>
      <c r="C210" t="s">
        <v>16</v>
      </c>
      <c r="D210" s="3">
        <v>44365</v>
      </c>
      <c r="E210" s="1">
        <v>44365.658506944441</v>
      </c>
      <c r="F210" t="s">
        <v>17</v>
      </c>
      <c r="G210" t="s">
        <v>83</v>
      </c>
      <c r="H210" s="1">
        <v>44365.53125</v>
      </c>
      <c r="I210" s="1">
        <v>44365.666666666664</v>
      </c>
      <c r="J210" s="4">
        <f t="shared" si="3"/>
        <v>0.13541666666424135</v>
      </c>
      <c r="K210" t="s">
        <v>217</v>
      </c>
      <c r="M210">
        <v>0</v>
      </c>
      <c r="N210" s="6">
        <v>0</v>
      </c>
      <c r="Q210" s="2" t="s">
        <v>19</v>
      </c>
    </row>
    <row r="211" spans="1:17" ht="68" x14ac:dyDescent="0.2">
      <c r="A211" t="s">
        <v>189</v>
      </c>
      <c r="B211" t="s">
        <v>87</v>
      </c>
      <c r="C211" t="s">
        <v>16</v>
      </c>
      <c r="D211" s="3">
        <v>44375</v>
      </c>
      <c r="E211" s="1">
        <v>44375.669432870367</v>
      </c>
      <c r="F211" t="s">
        <v>17</v>
      </c>
      <c r="G211" t="s">
        <v>84</v>
      </c>
      <c r="H211" s="1">
        <v>44375.539583333331</v>
      </c>
      <c r="I211" s="1">
        <v>44375.669444444444</v>
      </c>
      <c r="J211" s="4">
        <f t="shared" si="3"/>
        <v>0.12986111111240461</v>
      </c>
      <c r="K211" t="s">
        <v>213</v>
      </c>
      <c r="M211">
        <v>0</v>
      </c>
      <c r="N211" s="5" t="s">
        <v>144</v>
      </c>
      <c r="Q211" s="2" t="s">
        <v>19</v>
      </c>
    </row>
    <row r="212" spans="1:17" ht="68" x14ac:dyDescent="0.2">
      <c r="A212" t="s">
        <v>189</v>
      </c>
      <c r="B212" t="s">
        <v>90</v>
      </c>
      <c r="C212" t="s">
        <v>91</v>
      </c>
      <c r="D212" s="3">
        <v>44207</v>
      </c>
      <c r="E212" s="1">
        <v>44207.428738425922</v>
      </c>
      <c r="F212" t="s">
        <v>17</v>
      </c>
      <c r="G212" t="s">
        <v>18</v>
      </c>
      <c r="H212" s="1">
        <v>44207.354166666664</v>
      </c>
      <c r="I212" s="1">
        <v>44207.479166666664</v>
      </c>
      <c r="J212" s="4">
        <f t="shared" si="3"/>
        <v>0.125</v>
      </c>
      <c r="K212" t="s">
        <v>190</v>
      </c>
      <c r="M212">
        <v>0</v>
      </c>
      <c r="N212" s="6">
        <v>8.0671296296296307E-3</v>
      </c>
      <c r="Q212" s="2" t="s">
        <v>19</v>
      </c>
    </row>
    <row r="213" spans="1:17" ht="68" x14ac:dyDescent="0.2">
      <c r="A213" t="s">
        <v>189</v>
      </c>
      <c r="B213" t="s">
        <v>90</v>
      </c>
      <c r="C213" t="s">
        <v>91</v>
      </c>
      <c r="D213" s="3">
        <v>44207</v>
      </c>
      <c r="E213" s="1">
        <v>44207.449490740742</v>
      </c>
      <c r="F213" t="s">
        <v>17</v>
      </c>
      <c r="G213" t="s">
        <v>18</v>
      </c>
      <c r="H213" s="1">
        <v>44207.354166666664</v>
      </c>
      <c r="I213" s="1">
        <v>44207.479166666664</v>
      </c>
      <c r="J213" s="4">
        <f t="shared" si="3"/>
        <v>0.125</v>
      </c>
      <c r="K213" t="s">
        <v>190</v>
      </c>
      <c r="M213">
        <v>0</v>
      </c>
      <c r="N213" s="6">
        <v>9.6527777777777775E-3</v>
      </c>
      <c r="Q213" s="2" t="s">
        <v>19</v>
      </c>
    </row>
    <row r="214" spans="1:17" ht="68" x14ac:dyDescent="0.2">
      <c r="A214" t="s">
        <v>189</v>
      </c>
      <c r="B214" t="s">
        <v>90</v>
      </c>
      <c r="C214" t="s">
        <v>91</v>
      </c>
      <c r="D214" s="3">
        <v>44207</v>
      </c>
      <c r="E214" s="1">
        <v>44207.472199074073</v>
      </c>
      <c r="F214" t="s">
        <v>17</v>
      </c>
      <c r="G214" t="s">
        <v>18</v>
      </c>
      <c r="H214" s="1">
        <v>44207.354166666664</v>
      </c>
      <c r="I214" s="1">
        <v>44207.479166666664</v>
      </c>
      <c r="J214" s="4">
        <f t="shared" si="3"/>
        <v>0.125</v>
      </c>
      <c r="K214" t="s">
        <v>190</v>
      </c>
      <c r="M214">
        <v>0</v>
      </c>
      <c r="N214" s="6">
        <v>2.5231481481481481E-3</v>
      </c>
      <c r="Q214" s="2" t="s">
        <v>19</v>
      </c>
    </row>
    <row r="215" spans="1:17" ht="68" x14ac:dyDescent="0.2">
      <c r="A215" t="s">
        <v>189</v>
      </c>
      <c r="B215" t="s">
        <v>90</v>
      </c>
      <c r="C215" t="s">
        <v>91</v>
      </c>
      <c r="D215" s="3">
        <v>44236</v>
      </c>
      <c r="E215" s="1">
        <v>44236.367928240739</v>
      </c>
      <c r="F215" t="s">
        <v>17</v>
      </c>
      <c r="G215" t="s">
        <v>20</v>
      </c>
      <c r="H215" s="1">
        <v>44236.354166666664</v>
      </c>
      <c r="I215" s="1">
        <v>44236.479166666664</v>
      </c>
      <c r="J215" s="4">
        <f t="shared" si="3"/>
        <v>0.125</v>
      </c>
      <c r="K215" t="s">
        <v>191</v>
      </c>
      <c r="M215">
        <v>0</v>
      </c>
      <c r="N215" s="6">
        <v>4.7337962962962958E-3</v>
      </c>
      <c r="Q215" s="2" t="s">
        <v>19</v>
      </c>
    </row>
    <row r="216" spans="1:17" ht="68" x14ac:dyDescent="0.2">
      <c r="A216" t="s">
        <v>189</v>
      </c>
      <c r="B216" t="s">
        <v>90</v>
      </c>
      <c r="C216" t="s">
        <v>91</v>
      </c>
      <c r="D216" s="3">
        <v>44236</v>
      </c>
      <c r="E216" s="1">
        <v>44236.375717592593</v>
      </c>
      <c r="F216" t="s">
        <v>17</v>
      </c>
      <c r="G216" t="s">
        <v>20</v>
      </c>
      <c r="H216" s="1">
        <v>44236.354166666664</v>
      </c>
      <c r="I216" s="1">
        <v>44236.479166666664</v>
      </c>
      <c r="J216" s="4">
        <f t="shared" si="3"/>
        <v>0.125</v>
      </c>
      <c r="K216" t="s">
        <v>191</v>
      </c>
      <c r="M216">
        <v>0</v>
      </c>
      <c r="N216" s="6">
        <v>7.5810185185185182E-3</v>
      </c>
      <c r="Q216" s="2" t="s">
        <v>19</v>
      </c>
    </row>
    <row r="217" spans="1:17" ht="68" x14ac:dyDescent="0.2">
      <c r="A217" t="s">
        <v>189</v>
      </c>
      <c r="B217" t="s">
        <v>90</v>
      </c>
      <c r="C217" t="s">
        <v>91</v>
      </c>
      <c r="D217" s="3">
        <v>44236</v>
      </c>
      <c r="E217" s="1">
        <v>44236.38318287037</v>
      </c>
      <c r="F217" t="s">
        <v>17</v>
      </c>
      <c r="G217" t="s">
        <v>20</v>
      </c>
      <c r="H217" s="1">
        <v>44236.354166666664</v>
      </c>
      <c r="I217" s="1">
        <v>44236.479166666664</v>
      </c>
      <c r="J217" s="4">
        <f t="shared" si="3"/>
        <v>0.125</v>
      </c>
      <c r="K217" t="s">
        <v>191</v>
      </c>
      <c r="M217">
        <v>0</v>
      </c>
      <c r="N217" s="6">
        <v>3.3564814814814811E-3</v>
      </c>
      <c r="Q217" s="2" t="s">
        <v>19</v>
      </c>
    </row>
    <row r="218" spans="1:17" ht="68" x14ac:dyDescent="0.2">
      <c r="A218" t="s">
        <v>189</v>
      </c>
      <c r="B218" t="s">
        <v>90</v>
      </c>
      <c r="C218" t="s">
        <v>91</v>
      </c>
      <c r="D218" s="3">
        <v>44236</v>
      </c>
      <c r="E218" s="1">
        <v>44236.390069444446</v>
      </c>
      <c r="F218" t="s">
        <v>17</v>
      </c>
      <c r="G218" t="s">
        <v>20</v>
      </c>
      <c r="H218" s="1">
        <v>44236.354166666664</v>
      </c>
      <c r="I218" s="1">
        <v>44236.479166666664</v>
      </c>
      <c r="J218" s="4">
        <f t="shared" si="3"/>
        <v>0.125</v>
      </c>
      <c r="K218" t="s">
        <v>191</v>
      </c>
      <c r="M218">
        <v>0</v>
      </c>
      <c r="N218" s="6">
        <v>1.736111111111111E-3</v>
      </c>
      <c r="Q218" s="2" t="s">
        <v>19</v>
      </c>
    </row>
    <row r="219" spans="1:17" ht="68" x14ac:dyDescent="0.2">
      <c r="A219" t="s">
        <v>189</v>
      </c>
      <c r="B219" t="s">
        <v>90</v>
      </c>
      <c r="C219" t="s">
        <v>91</v>
      </c>
      <c r="D219" s="3">
        <v>44236</v>
      </c>
      <c r="E219" s="1">
        <v>44236.434988425928</v>
      </c>
      <c r="F219" t="s">
        <v>17</v>
      </c>
      <c r="G219" t="s">
        <v>20</v>
      </c>
      <c r="H219" s="1">
        <v>44236.354166666664</v>
      </c>
      <c r="I219" s="1">
        <v>44236.479166666664</v>
      </c>
      <c r="J219" s="4">
        <f t="shared" si="3"/>
        <v>0.125</v>
      </c>
      <c r="K219" t="s">
        <v>191</v>
      </c>
      <c r="M219">
        <v>0</v>
      </c>
      <c r="N219" s="6">
        <v>1.273148148148148E-4</v>
      </c>
      <c r="Q219" s="2" t="s">
        <v>19</v>
      </c>
    </row>
    <row r="220" spans="1:17" ht="68" x14ac:dyDescent="0.2">
      <c r="A220" t="s">
        <v>189</v>
      </c>
      <c r="B220" t="s">
        <v>90</v>
      </c>
      <c r="C220" t="s">
        <v>91</v>
      </c>
      <c r="D220" s="3">
        <v>44236</v>
      </c>
      <c r="E220" s="1">
        <v>44236.436990740738</v>
      </c>
      <c r="F220" t="s">
        <v>17</v>
      </c>
      <c r="G220" t="s">
        <v>20</v>
      </c>
      <c r="H220" s="1">
        <v>44236.354166666664</v>
      </c>
      <c r="I220" s="1">
        <v>44236.479166666664</v>
      </c>
      <c r="J220" s="4">
        <f t="shared" si="3"/>
        <v>0.125</v>
      </c>
      <c r="K220" t="s">
        <v>191</v>
      </c>
      <c r="M220">
        <v>0</v>
      </c>
      <c r="N220" s="6">
        <v>3.4722222222222224E-4</v>
      </c>
      <c r="Q220" s="2" t="s">
        <v>19</v>
      </c>
    </row>
    <row r="221" spans="1:17" ht="68" x14ac:dyDescent="0.2">
      <c r="A221" t="s">
        <v>189</v>
      </c>
      <c r="B221" t="s">
        <v>90</v>
      </c>
      <c r="C221" t="s">
        <v>91</v>
      </c>
      <c r="D221" s="3">
        <v>44236</v>
      </c>
      <c r="E221" s="1">
        <v>44236.564583333333</v>
      </c>
      <c r="F221" t="s">
        <v>17</v>
      </c>
      <c r="G221" t="s">
        <v>21</v>
      </c>
      <c r="H221" s="1">
        <v>44236.5625</v>
      </c>
      <c r="I221" s="1">
        <v>44236.6875</v>
      </c>
      <c r="J221" s="4">
        <f t="shared" si="3"/>
        <v>0.125</v>
      </c>
      <c r="K221" t="s">
        <v>192</v>
      </c>
      <c r="M221">
        <v>0</v>
      </c>
      <c r="N221" s="6">
        <v>1.1805555555555555E-2</v>
      </c>
      <c r="Q221" s="2" t="s">
        <v>19</v>
      </c>
    </row>
    <row r="222" spans="1:17" ht="68" x14ac:dyDescent="0.2">
      <c r="A222" t="s">
        <v>189</v>
      </c>
      <c r="B222" t="s">
        <v>90</v>
      </c>
      <c r="C222" t="s">
        <v>91</v>
      </c>
      <c r="D222" s="3">
        <v>44236</v>
      </c>
      <c r="E222" s="1">
        <v>44236.576388888891</v>
      </c>
      <c r="F222" t="s">
        <v>17</v>
      </c>
      <c r="G222" t="s">
        <v>21</v>
      </c>
      <c r="H222" s="1">
        <v>44236.5625</v>
      </c>
      <c r="I222" s="1">
        <v>44236.6875</v>
      </c>
      <c r="J222" s="4">
        <f t="shared" si="3"/>
        <v>0.125</v>
      </c>
      <c r="K222" t="s">
        <v>192</v>
      </c>
      <c r="M222">
        <v>0</v>
      </c>
      <c r="N222" s="6">
        <v>1.3888888888888889E-3</v>
      </c>
      <c r="Q222" s="2" t="s">
        <v>19</v>
      </c>
    </row>
    <row r="223" spans="1:17" ht="68" x14ac:dyDescent="0.2">
      <c r="A223" t="s">
        <v>189</v>
      </c>
      <c r="B223" t="s">
        <v>90</v>
      </c>
      <c r="C223" t="s">
        <v>91</v>
      </c>
      <c r="D223" s="3">
        <v>44236</v>
      </c>
      <c r="E223" s="1">
        <v>44236.582638888889</v>
      </c>
      <c r="F223" t="s">
        <v>17</v>
      </c>
      <c r="G223" t="s">
        <v>21</v>
      </c>
      <c r="H223" s="1">
        <v>44236.5625</v>
      </c>
      <c r="I223" s="1">
        <v>44236.6875</v>
      </c>
      <c r="J223" s="4">
        <f t="shared" si="3"/>
        <v>0.125</v>
      </c>
      <c r="K223" t="s">
        <v>192</v>
      </c>
      <c r="M223">
        <v>0</v>
      </c>
      <c r="N223" s="6">
        <v>5.5555555555555558E-3</v>
      </c>
      <c r="Q223" s="2" t="s">
        <v>19</v>
      </c>
    </row>
    <row r="224" spans="1:17" ht="68" x14ac:dyDescent="0.2">
      <c r="A224" t="s">
        <v>189</v>
      </c>
      <c r="B224" t="s">
        <v>90</v>
      </c>
      <c r="C224" t="s">
        <v>91</v>
      </c>
      <c r="D224" s="3">
        <v>44236</v>
      </c>
      <c r="E224" s="1">
        <v>44236.620405092595</v>
      </c>
      <c r="F224" t="s">
        <v>17</v>
      </c>
      <c r="G224" t="s">
        <v>21</v>
      </c>
      <c r="H224" s="1">
        <v>44236.5625</v>
      </c>
      <c r="I224" s="1">
        <v>44236.6875</v>
      </c>
      <c r="J224" s="4">
        <f t="shared" si="3"/>
        <v>0.125</v>
      </c>
      <c r="K224" t="s">
        <v>192</v>
      </c>
      <c r="M224">
        <v>0</v>
      </c>
      <c r="N224" s="6">
        <v>1.3425925925925925E-3</v>
      </c>
      <c r="Q224" s="2" t="s">
        <v>19</v>
      </c>
    </row>
    <row r="225" spans="1:17" ht="68" x14ac:dyDescent="0.2">
      <c r="A225" t="s">
        <v>189</v>
      </c>
      <c r="B225" t="s">
        <v>90</v>
      </c>
      <c r="C225" t="s">
        <v>91</v>
      </c>
      <c r="D225" s="3">
        <v>44236</v>
      </c>
      <c r="E225" s="1">
        <v>44236.646053240744</v>
      </c>
      <c r="F225" t="s">
        <v>17</v>
      </c>
      <c r="G225" t="s">
        <v>21</v>
      </c>
      <c r="H225" s="1">
        <v>44236.5625</v>
      </c>
      <c r="I225" s="1">
        <v>44236.6875</v>
      </c>
      <c r="J225" s="4">
        <f t="shared" si="3"/>
        <v>0.125</v>
      </c>
      <c r="K225" t="s">
        <v>192</v>
      </c>
      <c r="M225">
        <v>0</v>
      </c>
      <c r="N225" s="6">
        <v>7.7546296296296304E-4</v>
      </c>
      <c r="Q225" s="2" t="s">
        <v>19</v>
      </c>
    </row>
    <row r="226" spans="1:17" ht="68" x14ac:dyDescent="0.2">
      <c r="A226" t="s">
        <v>189</v>
      </c>
      <c r="B226" t="s">
        <v>90</v>
      </c>
      <c r="C226" t="s">
        <v>91</v>
      </c>
      <c r="D226" s="3">
        <v>44236</v>
      </c>
      <c r="E226" s="1">
        <v>44236.646493055552</v>
      </c>
      <c r="F226" t="s">
        <v>17</v>
      </c>
      <c r="G226" t="s">
        <v>21</v>
      </c>
      <c r="H226" s="1">
        <v>44236.5625</v>
      </c>
      <c r="I226" s="1">
        <v>44236.6875</v>
      </c>
      <c r="J226" s="4">
        <f t="shared" si="3"/>
        <v>0.125</v>
      </c>
      <c r="K226" t="s">
        <v>192</v>
      </c>
      <c r="M226">
        <v>0</v>
      </c>
      <c r="N226" s="6">
        <v>2.4305555555555552E-4</v>
      </c>
      <c r="Q226" s="2" t="s">
        <v>19</v>
      </c>
    </row>
    <row r="227" spans="1:17" ht="68" x14ac:dyDescent="0.2">
      <c r="A227" t="s">
        <v>189</v>
      </c>
      <c r="B227" t="s">
        <v>90</v>
      </c>
      <c r="C227" t="s">
        <v>91</v>
      </c>
      <c r="D227" s="3">
        <v>44236</v>
      </c>
      <c r="E227" s="1">
        <v>44236.650775462964</v>
      </c>
      <c r="F227" t="s">
        <v>17</v>
      </c>
      <c r="G227" t="s">
        <v>21</v>
      </c>
      <c r="H227" s="1">
        <v>44236.5625</v>
      </c>
      <c r="I227" s="1">
        <v>44236.6875</v>
      </c>
      <c r="J227" s="4">
        <f t="shared" si="3"/>
        <v>0.125</v>
      </c>
      <c r="K227" t="s">
        <v>192</v>
      </c>
      <c r="M227">
        <v>0</v>
      </c>
      <c r="N227" s="6">
        <v>1.5046296296296297E-4</v>
      </c>
      <c r="Q227" s="2" t="s">
        <v>19</v>
      </c>
    </row>
    <row r="228" spans="1:17" ht="68" x14ac:dyDescent="0.2">
      <c r="A228" t="s">
        <v>189</v>
      </c>
      <c r="B228" t="s">
        <v>90</v>
      </c>
      <c r="C228" t="s">
        <v>91</v>
      </c>
      <c r="D228" s="3">
        <v>44236</v>
      </c>
      <c r="E228" s="1">
        <v>44236.670115740744</v>
      </c>
      <c r="F228" t="s">
        <v>17</v>
      </c>
      <c r="G228" t="s">
        <v>21</v>
      </c>
      <c r="H228" s="1">
        <v>44236.5625</v>
      </c>
      <c r="I228" s="1">
        <v>44236.6875</v>
      </c>
      <c r="J228" s="4">
        <f t="shared" si="3"/>
        <v>0.125</v>
      </c>
      <c r="K228" t="s">
        <v>192</v>
      </c>
      <c r="M228">
        <v>0</v>
      </c>
      <c r="N228" s="6">
        <v>1.689814814814815E-3</v>
      </c>
      <c r="Q228" s="2" t="s">
        <v>19</v>
      </c>
    </row>
    <row r="229" spans="1:17" ht="68" x14ac:dyDescent="0.2">
      <c r="A229" t="s">
        <v>189</v>
      </c>
      <c r="B229" t="s">
        <v>90</v>
      </c>
      <c r="C229" t="s">
        <v>91</v>
      </c>
      <c r="D229" s="3">
        <v>44236</v>
      </c>
      <c r="E229" s="1">
        <v>44236.681898148148</v>
      </c>
      <c r="F229" t="s">
        <v>17</v>
      </c>
      <c r="G229" t="s">
        <v>21</v>
      </c>
      <c r="H229" s="1">
        <v>44236.5625</v>
      </c>
      <c r="I229" s="1">
        <v>44236.6875</v>
      </c>
      <c r="J229" s="4">
        <f t="shared" si="3"/>
        <v>0.125</v>
      </c>
      <c r="K229" t="s">
        <v>192</v>
      </c>
      <c r="M229">
        <v>0</v>
      </c>
      <c r="N229" s="6">
        <v>1.1030092592592591E-2</v>
      </c>
      <c r="Q229" s="2" t="s">
        <v>19</v>
      </c>
    </row>
    <row r="230" spans="1:17" ht="68" x14ac:dyDescent="0.2">
      <c r="A230" t="s">
        <v>189</v>
      </c>
      <c r="B230" t="s">
        <v>90</v>
      </c>
      <c r="C230" t="s">
        <v>91</v>
      </c>
      <c r="D230" s="3">
        <v>44236</v>
      </c>
      <c r="E230" s="1">
        <v>44236.681921296295</v>
      </c>
      <c r="F230" t="s">
        <v>17</v>
      </c>
      <c r="G230" t="s">
        <v>21</v>
      </c>
      <c r="H230" s="1">
        <v>44236.5625</v>
      </c>
      <c r="I230" s="1">
        <v>44236.6875</v>
      </c>
      <c r="J230" s="4">
        <f t="shared" si="3"/>
        <v>0.125</v>
      </c>
      <c r="K230" t="s">
        <v>192</v>
      </c>
      <c r="M230">
        <v>0</v>
      </c>
      <c r="N230" s="6">
        <v>4.3518518518518515E-3</v>
      </c>
      <c r="Q230" s="2" t="s">
        <v>19</v>
      </c>
    </row>
    <row r="231" spans="1:17" ht="68" x14ac:dyDescent="0.2">
      <c r="A231" t="s">
        <v>189</v>
      </c>
      <c r="B231" t="s">
        <v>90</v>
      </c>
      <c r="C231" t="s">
        <v>91</v>
      </c>
      <c r="D231" s="3">
        <v>44237</v>
      </c>
      <c r="E231" s="1">
        <v>44237.398321759261</v>
      </c>
      <c r="F231" t="s">
        <v>17</v>
      </c>
      <c r="G231" t="s">
        <v>20</v>
      </c>
      <c r="H231" s="1">
        <v>44237.354166666664</v>
      </c>
      <c r="I231" s="1">
        <v>44237.479166666664</v>
      </c>
      <c r="J231" s="4">
        <f t="shared" si="3"/>
        <v>0.125</v>
      </c>
      <c r="K231" t="s">
        <v>190</v>
      </c>
      <c r="M231">
        <v>0</v>
      </c>
      <c r="N231" s="6">
        <v>3.4745370370370371E-2</v>
      </c>
      <c r="Q231" s="2" t="s">
        <v>19</v>
      </c>
    </row>
    <row r="232" spans="1:17" ht="68" x14ac:dyDescent="0.2">
      <c r="A232" t="s">
        <v>189</v>
      </c>
      <c r="B232" t="s">
        <v>90</v>
      </c>
      <c r="C232" t="s">
        <v>91</v>
      </c>
      <c r="D232" s="3">
        <v>44237</v>
      </c>
      <c r="E232" s="1">
        <v>44237.442800925928</v>
      </c>
      <c r="F232" t="s">
        <v>17</v>
      </c>
      <c r="G232" t="s">
        <v>20</v>
      </c>
      <c r="H232" s="1">
        <v>44237.354166666664</v>
      </c>
      <c r="I232" s="1">
        <v>44237.479166666664</v>
      </c>
      <c r="J232" s="4">
        <f t="shared" si="3"/>
        <v>0.125</v>
      </c>
      <c r="K232" t="s">
        <v>190</v>
      </c>
      <c r="M232">
        <v>0</v>
      </c>
      <c r="N232" s="6">
        <v>3.4340277777777782E-2</v>
      </c>
      <c r="Q232" s="2" t="s">
        <v>19</v>
      </c>
    </row>
    <row r="233" spans="1:17" ht="68" x14ac:dyDescent="0.2">
      <c r="A233" t="s">
        <v>189</v>
      </c>
      <c r="B233" t="s">
        <v>90</v>
      </c>
      <c r="C233" t="s">
        <v>91</v>
      </c>
      <c r="D233" s="3">
        <v>44238</v>
      </c>
      <c r="E233" s="1">
        <v>44238.386863425927</v>
      </c>
      <c r="F233" t="s">
        <v>17</v>
      </c>
      <c r="G233" t="s">
        <v>22</v>
      </c>
      <c r="H233" s="1">
        <v>44238.354166666664</v>
      </c>
      <c r="I233" s="1">
        <v>44238.479166666664</v>
      </c>
      <c r="J233" s="4">
        <f t="shared" si="3"/>
        <v>0.125</v>
      </c>
      <c r="K233" t="s">
        <v>191</v>
      </c>
      <c r="M233">
        <v>0</v>
      </c>
      <c r="N233" s="6">
        <v>1.0532407407407407E-3</v>
      </c>
      <c r="Q233" s="2" t="s">
        <v>19</v>
      </c>
    </row>
    <row r="234" spans="1:17" ht="68" x14ac:dyDescent="0.2">
      <c r="A234" t="s">
        <v>189</v>
      </c>
      <c r="B234" t="s">
        <v>90</v>
      </c>
      <c r="C234" t="s">
        <v>91</v>
      </c>
      <c r="D234" s="3">
        <v>44238</v>
      </c>
      <c r="E234" s="1">
        <v>44238.395752314813</v>
      </c>
      <c r="F234" t="s">
        <v>17</v>
      </c>
      <c r="G234" t="s">
        <v>22</v>
      </c>
      <c r="H234" s="1">
        <v>44238.354166666664</v>
      </c>
      <c r="I234" s="1">
        <v>44238.479166666664</v>
      </c>
      <c r="J234" s="4">
        <f t="shared" si="3"/>
        <v>0.125</v>
      </c>
      <c r="K234" t="s">
        <v>191</v>
      </c>
      <c r="M234">
        <v>0</v>
      </c>
      <c r="N234" s="6">
        <v>8.819444444444444E-3</v>
      </c>
      <c r="Q234" s="2" t="s">
        <v>19</v>
      </c>
    </row>
    <row r="235" spans="1:17" ht="68" x14ac:dyDescent="0.2">
      <c r="A235" t="s">
        <v>189</v>
      </c>
      <c r="B235" t="s">
        <v>90</v>
      </c>
      <c r="C235" t="s">
        <v>91</v>
      </c>
      <c r="D235" s="3">
        <v>44238</v>
      </c>
      <c r="E235" s="1">
        <v>44238.396331018521</v>
      </c>
      <c r="F235" t="s">
        <v>17</v>
      </c>
      <c r="G235" t="s">
        <v>22</v>
      </c>
      <c r="H235" s="1">
        <v>44238.354166666664</v>
      </c>
      <c r="I235" s="1">
        <v>44238.479166666664</v>
      </c>
      <c r="J235" s="4">
        <f t="shared" si="3"/>
        <v>0.125</v>
      </c>
      <c r="K235" t="s">
        <v>191</v>
      </c>
      <c r="M235">
        <v>0</v>
      </c>
      <c r="N235" s="6">
        <v>4.8611111111111104E-4</v>
      </c>
      <c r="Q235" s="2" t="s">
        <v>19</v>
      </c>
    </row>
    <row r="236" spans="1:17" ht="68" x14ac:dyDescent="0.2">
      <c r="A236" t="s">
        <v>189</v>
      </c>
      <c r="B236" t="s">
        <v>90</v>
      </c>
      <c r="C236" t="s">
        <v>91</v>
      </c>
      <c r="D236" s="3">
        <v>44238</v>
      </c>
      <c r="E236" s="1">
        <v>44238.399317129632</v>
      </c>
      <c r="F236" t="s">
        <v>17</v>
      </c>
      <c r="G236" t="s">
        <v>22</v>
      </c>
      <c r="H236" s="1">
        <v>44238.354166666664</v>
      </c>
      <c r="I236" s="1">
        <v>44238.479166666664</v>
      </c>
      <c r="J236" s="4">
        <f t="shared" si="3"/>
        <v>0.125</v>
      </c>
      <c r="K236" t="s">
        <v>191</v>
      </c>
      <c r="M236">
        <v>0</v>
      </c>
      <c r="N236" s="6">
        <v>9.2592592592592585E-4</v>
      </c>
      <c r="Q236" s="2" t="s">
        <v>19</v>
      </c>
    </row>
    <row r="237" spans="1:17" ht="68" x14ac:dyDescent="0.2">
      <c r="A237" t="s">
        <v>189</v>
      </c>
      <c r="B237" t="s">
        <v>90</v>
      </c>
      <c r="C237" t="s">
        <v>91</v>
      </c>
      <c r="D237" s="3">
        <v>44238</v>
      </c>
      <c r="E237" s="1">
        <v>44238.418703703705</v>
      </c>
      <c r="F237" t="s">
        <v>17</v>
      </c>
      <c r="G237" t="s">
        <v>22</v>
      </c>
      <c r="H237" s="1">
        <v>44238.354166666664</v>
      </c>
      <c r="I237" s="1">
        <v>44238.479166666664</v>
      </c>
      <c r="J237" s="4">
        <f t="shared" si="3"/>
        <v>0.125</v>
      </c>
      <c r="K237" t="s">
        <v>191</v>
      </c>
      <c r="M237">
        <v>0</v>
      </c>
      <c r="N237" s="6">
        <v>8.9467592592592585E-3</v>
      </c>
      <c r="Q237" s="2" t="s">
        <v>19</v>
      </c>
    </row>
    <row r="238" spans="1:17" ht="68" x14ac:dyDescent="0.2">
      <c r="A238" t="s">
        <v>189</v>
      </c>
      <c r="B238" t="s">
        <v>90</v>
      </c>
      <c r="C238" t="s">
        <v>91</v>
      </c>
      <c r="D238" s="3">
        <v>44238</v>
      </c>
      <c r="E238" s="1">
        <v>44238.422962962963</v>
      </c>
      <c r="F238" t="s">
        <v>17</v>
      </c>
      <c r="G238" t="s">
        <v>22</v>
      </c>
      <c r="H238" s="1">
        <v>44238.354166666664</v>
      </c>
      <c r="I238" s="1">
        <v>44238.479166666664</v>
      </c>
      <c r="J238" s="4">
        <f t="shared" si="3"/>
        <v>0.125</v>
      </c>
      <c r="K238" t="s">
        <v>191</v>
      </c>
      <c r="M238">
        <v>0</v>
      </c>
      <c r="N238" s="6">
        <v>1.9097222222222222E-3</v>
      </c>
      <c r="Q238" s="2" t="s">
        <v>19</v>
      </c>
    </row>
    <row r="239" spans="1:17" ht="68" x14ac:dyDescent="0.2">
      <c r="A239" t="s">
        <v>189</v>
      </c>
      <c r="B239" t="s">
        <v>90</v>
      </c>
      <c r="C239" t="s">
        <v>91</v>
      </c>
      <c r="D239" s="3">
        <v>44238</v>
      </c>
      <c r="E239" s="1">
        <v>44238.432858796295</v>
      </c>
      <c r="F239" t="s">
        <v>17</v>
      </c>
      <c r="G239" t="s">
        <v>22</v>
      </c>
      <c r="H239" s="1">
        <v>44238.354166666664</v>
      </c>
      <c r="I239" s="1">
        <v>44238.479166666664</v>
      </c>
      <c r="J239" s="4">
        <f t="shared" si="3"/>
        <v>0.125</v>
      </c>
      <c r="K239" t="s">
        <v>191</v>
      </c>
      <c r="M239">
        <v>0</v>
      </c>
      <c r="N239" s="6">
        <v>5.2083333333333333E-4</v>
      </c>
      <c r="Q239" s="2" t="s">
        <v>19</v>
      </c>
    </row>
    <row r="240" spans="1:17" ht="68" x14ac:dyDescent="0.2">
      <c r="A240" t="s">
        <v>189</v>
      </c>
      <c r="B240" t="s">
        <v>90</v>
      </c>
      <c r="C240" t="s">
        <v>91</v>
      </c>
      <c r="D240" s="3">
        <v>44238</v>
      </c>
      <c r="E240" s="1">
        <v>44238.569247685184</v>
      </c>
      <c r="F240" t="s">
        <v>17</v>
      </c>
      <c r="G240" t="s">
        <v>23</v>
      </c>
      <c r="H240" s="1">
        <v>44238.5625</v>
      </c>
      <c r="I240" s="1">
        <v>44238.6875</v>
      </c>
      <c r="J240" s="4">
        <f t="shared" si="3"/>
        <v>0.125</v>
      </c>
      <c r="K240" t="s">
        <v>192</v>
      </c>
      <c r="M240">
        <v>0</v>
      </c>
      <c r="N240" s="6">
        <v>1.1111111111111111E-3</v>
      </c>
      <c r="Q240" s="2" t="s">
        <v>19</v>
      </c>
    </row>
    <row r="241" spans="1:17" ht="68" x14ac:dyDescent="0.2">
      <c r="A241" t="s">
        <v>189</v>
      </c>
      <c r="B241" t="s">
        <v>90</v>
      </c>
      <c r="C241" t="s">
        <v>91</v>
      </c>
      <c r="D241" s="3">
        <v>44238</v>
      </c>
      <c r="E241" s="1">
        <v>44238.571145833332</v>
      </c>
      <c r="F241" t="s">
        <v>17</v>
      </c>
      <c r="G241" t="s">
        <v>23</v>
      </c>
      <c r="H241" s="1">
        <v>44238.5625</v>
      </c>
      <c r="I241" s="1">
        <v>44238.6875</v>
      </c>
      <c r="J241" s="4">
        <f t="shared" si="3"/>
        <v>0.125</v>
      </c>
      <c r="K241" t="s">
        <v>192</v>
      </c>
      <c r="M241">
        <v>0</v>
      </c>
      <c r="N241" s="6">
        <v>1.736111111111111E-3</v>
      </c>
      <c r="Q241" s="2" t="s">
        <v>19</v>
      </c>
    </row>
    <row r="242" spans="1:17" ht="68" x14ac:dyDescent="0.2">
      <c r="A242" t="s">
        <v>189</v>
      </c>
      <c r="B242" t="s">
        <v>90</v>
      </c>
      <c r="C242" t="s">
        <v>91</v>
      </c>
      <c r="D242" s="3">
        <v>44238</v>
      </c>
      <c r="E242" s="1">
        <v>44238.602037037039</v>
      </c>
      <c r="F242" t="s">
        <v>17</v>
      </c>
      <c r="G242" t="s">
        <v>23</v>
      </c>
      <c r="H242" s="1">
        <v>44238.5625</v>
      </c>
      <c r="I242" s="1">
        <v>44238.6875</v>
      </c>
      <c r="J242" s="4">
        <f t="shared" si="3"/>
        <v>0.125</v>
      </c>
      <c r="K242" t="s">
        <v>192</v>
      </c>
      <c r="M242">
        <v>0</v>
      </c>
      <c r="N242" s="6">
        <v>2.4502314814814814E-2</v>
      </c>
      <c r="Q242" s="2" t="s">
        <v>19</v>
      </c>
    </row>
    <row r="243" spans="1:17" ht="68" x14ac:dyDescent="0.2">
      <c r="A243" t="s">
        <v>189</v>
      </c>
      <c r="B243" t="s">
        <v>90</v>
      </c>
      <c r="C243" t="s">
        <v>91</v>
      </c>
      <c r="D243" s="3">
        <v>44238</v>
      </c>
      <c r="E243" s="1">
        <v>44238.631643518522</v>
      </c>
      <c r="F243" t="s">
        <v>17</v>
      </c>
      <c r="G243" t="s">
        <v>23</v>
      </c>
      <c r="H243" s="1">
        <v>44238.5625</v>
      </c>
      <c r="I243" s="1">
        <v>44238.6875</v>
      </c>
      <c r="J243" s="4">
        <f t="shared" si="3"/>
        <v>0.125</v>
      </c>
      <c r="K243" t="s">
        <v>192</v>
      </c>
      <c r="M243">
        <v>0</v>
      </c>
      <c r="N243" s="6">
        <v>6.9444444444444441E-3</v>
      </c>
      <c r="Q243" s="2" t="s">
        <v>19</v>
      </c>
    </row>
    <row r="244" spans="1:17" ht="68" x14ac:dyDescent="0.2">
      <c r="A244" t="s">
        <v>189</v>
      </c>
      <c r="B244" t="s">
        <v>90</v>
      </c>
      <c r="C244" t="s">
        <v>91</v>
      </c>
      <c r="D244" s="3">
        <v>44239</v>
      </c>
      <c r="E244" s="1">
        <v>44239.382199074076</v>
      </c>
      <c r="F244" t="s">
        <v>17</v>
      </c>
      <c r="G244" t="s">
        <v>24</v>
      </c>
      <c r="H244" s="1">
        <v>44239.354166666664</v>
      </c>
      <c r="I244" s="1">
        <v>44239.479166666664</v>
      </c>
      <c r="J244" s="4">
        <f t="shared" si="3"/>
        <v>0.125</v>
      </c>
      <c r="K244" t="s">
        <v>190</v>
      </c>
      <c r="M244">
        <v>0</v>
      </c>
      <c r="N244" s="6">
        <v>2.8819444444444444E-3</v>
      </c>
      <c r="Q244" s="2" t="s">
        <v>19</v>
      </c>
    </row>
    <row r="245" spans="1:17" ht="68" x14ac:dyDescent="0.2">
      <c r="A245" t="s">
        <v>189</v>
      </c>
      <c r="B245" t="s">
        <v>90</v>
      </c>
      <c r="C245" t="s">
        <v>91</v>
      </c>
      <c r="D245" s="3">
        <v>44239</v>
      </c>
      <c r="E245" s="1">
        <v>44239.470590277779</v>
      </c>
      <c r="F245" t="s">
        <v>17</v>
      </c>
      <c r="G245" t="s">
        <v>24</v>
      </c>
      <c r="H245" s="1">
        <v>44239.354166666664</v>
      </c>
      <c r="I245" s="1">
        <v>44239.479166666664</v>
      </c>
      <c r="J245" s="4">
        <f t="shared" si="3"/>
        <v>0.125</v>
      </c>
      <c r="K245" t="s">
        <v>190</v>
      </c>
      <c r="M245">
        <v>0</v>
      </c>
      <c r="N245" s="6">
        <v>1.9745370370370371E-2</v>
      </c>
      <c r="Q245" s="2" t="s">
        <v>19</v>
      </c>
    </row>
    <row r="246" spans="1:17" ht="68" x14ac:dyDescent="0.2">
      <c r="A246" t="s">
        <v>189</v>
      </c>
      <c r="B246" t="s">
        <v>90</v>
      </c>
      <c r="C246" t="s">
        <v>91</v>
      </c>
      <c r="D246" s="3">
        <v>44242</v>
      </c>
      <c r="E246" s="1">
        <v>44242.47351851852</v>
      </c>
      <c r="F246" t="s">
        <v>17</v>
      </c>
      <c r="G246" t="s">
        <v>20</v>
      </c>
      <c r="H246" s="1">
        <v>44242.354166666664</v>
      </c>
      <c r="I246" s="1">
        <v>44242.479166666664</v>
      </c>
      <c r="J246" s="4">
        <f t="shared" si="3"/>
        <v>0.125</v>
      </c>
      <c r="K246" t="s">
        <v>190</v>
      </c>
      <c r="M246">
        <v>0</v>
      </c>
      <c r="N246" s="6">
        <v>2.1342592592592594E-2</v>
      </c>
      <c r="Q246" s="2" t="s">
        <v>19</v>
      </c>
    </row>
    <row r="247" spans="1:17" ht="68" x14ac:dyDescent="0.2">
      <c r="A247" t="s">
        <v>189</v>
      </c>
      <c r="B247" t="s">
        <v>90</v>
      </c>
      <c r="C247" t="s">
        <v>91</v>
      </c>
      <c r="D247" s="3">
        <v>44243</v>
      </c>
      <c r="E247" s="1">
        <v>44243.44935185185</v>
      </c>
      <c r="F247" t="s">
        <v>17</v>
      </c>
      <c r="G247" t="s">
        <v>20</v>
      </c>
      <c r="H247" s="1">
        <v>44243.354166666664</v>
      </c>
      <c r="I247" s="1">
        <v>44243.479166666664</v>
      </c>
      <c r="J247" s="4">
        <f t="shared" si="3"/>
        <v>0.125</v>
      </c>
      <c r="K247" t="s">
        <v>191</v>
      </c>
      <c r="M247">
        <v>0</v>
      </c>
      <c r="N247" s="6">
        <v>1.7361111111111112E-4</v>
      </c>
      <c r="Q247" s="2" t="s">
        <v>19</v>
      </c>
    </row>
    <row r="248" spans="1:17" ht="68" x14ac:dyDescent="0.2">
      <c r="A248" t="s">
        <v>189</v>
      </c>
      <c r="B248" t="s">
        <v>90</v>
      </c>
      <c r="C248" t="s">
        <v>91</v>
      </c>
      <c r="D248" s="3">
        <v>44243</v>
      </c>
      <c r="E248" s="1">
        <v>44243.454861111109</v>
      </c>
      <c r="F248" t="s">
        <v>17</v>
      </c>
      <c r="G248" t="s">
        <v>20</v>
      </c>
      <c r="H248" s="1">
        <v>44243.354166666664</v>
      </c>
      <c r="I248" s="1">
        <v>44243.479166666664</v>
      </c>
      <c r="J248" s="4">
        <f t="shared" si="3"/>
        <v>0.125</v>
      </c>
      <c r="K248" t="s">
        <v>191</v>
      </c>
      <c r="M248">
        <v>0</v>
      </c>
      <c r="N248" s="6">
        <v>5.0925925925925921E-4</v>
      </c>
      <c r="Q248" s="2" t="s">
        <v>19</v>
      </c>
    </row>
    <row r="249" spans="1:17" ht="68" x14ac:dyDescent="0.2">
      <c r="A249" t="s">
        <v>189</v>
      </c>
      <c r="B249" t="s">
        <v>90</v>
      </c>
      <c r="C249" t="s">
        <v>91</v>
      </c>
      <c r="D249" s="3">
        <v>44243</v>
      </c>
      <c r="E249" s="1">
        <v>44243.455810185187</v>
      </c>
      <c r="F249" t="s">
        <v>17</v>
      </c>
      <c r="G249" t="s">
        <v>20</v>
      </c>
      <c r="H249" s="1">
        <v>44243.354166666664</v>
      </c>
      <c r="I249" s="1">
        <v>44243.479166666664</v>
      </c>
      <c r="J249" s="4">
        <f t="shared" si="3"/>
        <v>0.125</v>
      </c>
      <c r="K249" t="s">
        <v>191</v>
      </c>
      <c r="M249">
        <v>0</v>
      </c>
      <c r="N249" s="6">
        <v>7.175925925925927E-4</v>
      </c>
      <c r="Q249" s="2" t="s">
        <v>19</v>
      </c>
    </row>
    <row r="250" spans="1:17" ht="204" x14ac:dyDescent="0.2">
      <c r="A250" t="s">
        <v>189</v>
      </c>
      <c r="B250" t="s">
        <v>90</v>
      </c>
      <c r="C250" t="s">
        <v>91</v>
      </c>
      <c r="D250" s="3">
        <v>44243</v>
      </c>
      <c r="E250" s="1">
        <v>44243.464108796295</v>
      </c>
      <c r="F250" t="s">
        <v>17</v>
      </c>
      <c r="G250" t="s">
        <v>20</v>
      </c>
      <c r="H250" s="1">
        <v>44243.354166666664</v>
      </c>
      <c r="I250" s="1">
        <v>44243.479166666664</v>
      </c>
      <c r="J250" s="4">
        <f t="shared" si="3"/>
        <v>0.125</v>
      </c>
      <c r="K250" t="s">
        <v>191</v>
      </c>
      <c r="M250">
        <v>0</v>
      </c>
      <c r="N250" s="6">
        <v>7.9745370370370369E-3</v>
      </c>
      <c r="O250" t="s">
        <v>88</v>
      </c>
      <c r="P250" t="s">
        <v>89</v>
      </c>
      <c r="Q250" s="2" t="s">
        <v>92</v>
      </c>
    </row>
    <row r="251" spans="1:17" ht="68" x14ac:dyDescent="0.2">
      <c r="A251" t="s">
        <v>189</v>
      </c>
      <c r="B251" t="s">
        <v>90</v>
      </c>
      <c r="C251" t="s">
        <v>91</v>
      </c>
      <c r="D251" s="3">
        <v>44243</v>
      </c>
      <c r="E251" s="1">
        <v>44243.478518518517</v>
      </c>
      <c r="F251" t="s">
        <v>17</v>
      </c>
      <c r="G251" t="s">
        <v>20</v>
      </c>
      <c r="H251" s="1">
        <v>44243.354166666664</v>
      </c>
      <c r="I251" s="1">
        <v>44243.479166666664</v>
      </c>
      <c r="J251" s="4">
        <f t="shared" si="3"/>
        <v>0.125</v>
      </c>
      <c r="K251" t="s">
        <v>191</v>
      </c>
      <c r="M251">
        <v>0</v>
      </c>
      <c r="N251" s="6">
        <v>7.3495370370370372E-3</v>
      </c>
      <c r="Q251" s="2" t="s">
        <v>19</v>
      </c>
    </row>
    <row r="252" spans="1:17" ht="68" x14ac:dyDescent="0.2">
      <c r="A252" t="s">
        <v>189</v>
      </c>
      <c r="B252" t="s">
        <v>90</v>
      </c>
      <c r="C252" t="s">
        <v>91</v>
      </c>
      <c r="D252" s="3">
        <v>44243</v>
      </c>
      <c r="E252" s="1">
        <v>44243.577199074076</v>
      </c>
      <c r="F252" t="s">
        <v>17</v>
      </c>
      <c r="G252" t="s">
        <v>25</v>
      </c>
      <c r="H252" s="1">
        <v>44243.5625</v>
      </c>
      <c r="I252" s="1">
        <v>44243.6875</v>
      </c>
      <c r="J252" s="4">
        <f t="shared" si="3"/>
        <v>0.125</v>
      </c>
      <c r="K252" t="s">
        <v>192</v>
      </c>
      <c r="M252">
        <v>0</v>
      </c>
      <c r="N252" s="6">
        <v>2.0833333333333335E-4</v>
      </c>
      <c r="Q252" s="2" t="s">
        <v>19</v>
      </c>
    </row>
    <row r="253" spans="1:17" ht="68" x14ac:dyDescent="0.2">
      <c r="A253" t="s">
        <v>189</v>
      </c>
      <c r="B253" t="s">
        <v>90</v>
      </c>
      <c r="C253" t="s">
        <v>91</v>
      </c>
      <c r="D253" s="3">
        <v>44243</v>
      </c>
      <c r="E253" s="1">
        <v>44243.581504629627</v>
      </c>
      <c r="F253" t="s">
        <v>17</v>
      </c>
      <c r="G253" t="s">
        <v>25</v>
      </c>
      <c r="H253" s="1">
        <v>44243.5625</v>
      </c>
      <c r="I253" s="1">
        <v>44243.6875</v>
      </c>
      <c r="J253" s="4">
        <f t="shared" si="3"/>
        <v>0.125</v>
      </c>
      <c r="K253" t="s">
        <v>192</v>
      </c>
      <c r="M253">
        <v>0</v>
      </c>
      <c r="N253" s="6">
        <v>6.7129629629629625E-4</v>
      </c>
      <c r="Q253" s="2" t="s">
        <v>19</v>
      </c>
    </row>
    <row r="254" spans="1:17" ht="68" x14ac:dyDescent="0.2">
      <c r="A254" t="s">
        <v>189</v>
      </c>
      <c r="B254" t="s">
        <v>90</v>
      </c>
      <c r="C254" t="s">
        <v>91</v>
      </c>
      <c r="D254" s="3">
        <v>44243</v>
      </c>
      <c r="E254" s="1">
        <v>44243.650069444448</v>
      </c>
      <c r="F254" t="s">
        <v>17</v>
      </c>
      <c r="G254" t="s">
        <v>25</v>
      </c>
      <c r="H254" s="1">
        <v>44243.5625</v>
      </c>
      <c r="I254" s="1">
        <v>44243.6875</v>
      </c>
      <c r="J254" s="4">
        <f t="shared" si="3"/>
        <v>0.125</v>
      </c>
      <c r="K254" t="s">
        <v>192</v>
      </c>
      <c r="M254">
        <v>0</v>
      </c>
      <c r="N254" s="6">
        <v>1.6203703703703703E-4</v>
      </c>
      <c r="Q254" s="2" t="s">
        <v>19</v>
      </c>
    </row>
    <row r="255" spans="1:17" ht="68" x14ac:dyDescent="0.2">
      <c r="A255" t="s">
        <v>189</v>
      </c>
      <c r="B255" t="s">
        <v>90</v>
      </c>
      <c r="C255" t="s">
        <v>91</v>
      </c>
      <c r="D255" s="3">
        <v>44243</v>
      </c>
      <c r="E255" s="1">
        <v>44243.671516203707</v>
      </c>
      <c r="F255" t="s">
        <v>17</v>
      </c>
      <c r="G255" t="s">
        <v>25</v>
      </c>
      <c r="H255" s="1">
        <v>44243.5625</v>
      </c>
      <c r="I255" s="1">
        <v>44243.6875</v>
      </c>
      <c r="J255" s="4">
        <f t="shared" si="3"/>
        <v>0.125</v>
      </c>
      <c r="K255" t="s">
        <v>192</v>
      </c>
      <c r="M255">
        <v>0</v>
      </c>
      <c r="N255" s="6">
        <v>2.5462962962962961E-4</v>
      </c>
      <c r="Q255" s="2" t="s">
        <v>19</v>
      </c>
    </row>
    <row r="256" spans="1:17" ht="68" x14ac:dyDescent="0.2">
      <c r="A256" t="s">
        <v>189</v>
      </c>
      <c r="B256" t="s">
        <v>90</v>
      </c>
      <c r="C256" t="s">
        <v>91</v>
      </c>
      <c r="D256" s="3">
        <v>44243</v>
      </c>
      <c r="E256" s="1">
        <v>44243.673819444448</v>
      </c>
      <c r="F256" t="s">
        <v>17</v>
      </c>
      <c r="G256" t="s">
        <v>25</v>
      </c>
      <c r="H256" s="1">
        <v>44243.5625</v>
      </c>
      <c r="I256" s="1">
        <v>44243.6875</v>
      </c>
      <c r="J256" s="4">
        <f t="shared" si="3"/>
        <v>0.125</v>
      </c>
      <c r="K256" t="s">
        <v>192</v>
      </c>
      <c r="M256">
        <v>0</v>
      </c>
      <c r="N256" s="6">
        <v>1.1226851851851851E-3</v>
      </c>
      <c r="Q256" s="2" t="s">
        <v>19</v>
      </c>
    </row>
    <row r="257" spans="1:17" ht="68" x14ac:dyDescent="0.2">
      <c r="A257" t="s">
        <v>189</v>
      </c>
      <c r="B257" t="s">
        <v>90</v>
      </c>
      <c r="C257" t="s">
        <v>91</v>
      </c>
      <c r="D257" s="3">
        <v>44244</v>
      </c>
      <c r="E257" s="1">
        <v>44244.420706018522</v>
      </c>
      <c r="F257" t="s">
        <v>17</v>
      </c>
      <c r="G257" t="s">
        <v>26</v>
      </c>
      <c r="H257" s="1">
        <v>44244.354166666664</v>
      </c>
      <c r="I257" s="1">
        <v>44244.479166666664</v>
      </c>
      <c r="J257" s="4">
        <f t="shared" si="3"/>
        <v>0.125</v>
      </c>
      <c r="K257" t="s">
        <v>190</v>
      </c>
      <c r="M257">
        <v>0</v>
      </c>
      <c r="N257" s="6">
        <v>1.621527777777778E-2</v>
      </c>
      <c r="Q257" s="2" t="s">
        <v>19</v>
      </c>
    </row>
    <row r="258" spans="1:17" ht="68" x14ac:dyDescent="0.2">
      <c r="A258" t="s">
        <v>189</v>
      </c>
      <c r="B258" t="s">
        <v>90</v>
      </c>
      <c r="C258" t="s">
        <v>91</v>
      </c>
      <c r="D258" s="3">
        <v>44245</v>
      </c>
      <c r="E258" s="1">
        <v>44245.390659722223</v>
      </c>
      <c r="F258" t="s">
        <v>17</v>
      </c>
      <c r="G258" t="s">
        <v>27</v>
      </c>
      <c r="H258" s="1">
        <v>44245.354166666664</v>
      </c>
      <c r="I258" s="1">
        <v>44245.479166666664</v>
      </c>
      <c r="J258" s="4">
        <f t="shared" si="3"/>
        <v>0.125</v>
      </c>
      <c r="K258" t="s">
        <v>191</v>
      </c>
      <c r="M258">
        <v>0</v>
      </c>
      <c r="N258" s="6">
        <v>2.6620370370370372E-4</v>
      </c>
      <c r="Q258" s="2" t="s">
        <v>19</v>
      </c>
    </row>
    <row r="259" spans="1:17" ht="68" x14ac:dyDescent="0.2">
      <c r="A259" t="s">
        <v>189</v>
      </c>
      <c r="B259" t="s">
        <v>90</v>
      </c>
      <c r="C259" t="s">
        <v>91</v>
      </c>
      <c r="D259" s="3">
        <v>44245</v>
      </c>
      <c r="E259" s="1">
        <v>44245.391030092593</v>
      </c>
      <c r="F259" t="s">
        <v>17</v>
      </c>
      <c r="G259" t="s">
        <v>27</v>
      </c>
      <c r="H259" s="1">
        <v>44245.354166666664</v>
      </c>
      <c r="I259" s="1">
        <v>44245.479166666664</v>
      </c>
      <c r="J259" s="4">
        <f t="shared" ref="J259:J322" si="4">IF($I259="","",$I259-$H259)</f>
        <v>0.125</v>
      </c>
      <c r="K259" t="s">
        <v>191</v>
      </c>
      <c r="M259">
        <v>0</v>
      </c>
      <c r="N259" s="6">
        <v>1.7361111111111112E-4</v>
      </c>
      <c r="Q259" s="2" t="s">
        <v>19</v>
      </c>
    </row>
    <row r="260" spans="1:17" ht="68" x14ac:dyDescent="0.2">
      <c r="A260" t="s">
        <v>189</v>
      </c>
      <c r="B260" t="s">
        <v>90</v>
      </c>
      <c r="C260" t="s">
        <v>91</v>
      </c>
      <c r="D260" s="3">
        <v>44245</v>
      </c>
      <c r="E260" s="1">
        <v>44245.392384259256</v>
      </c>
      <c r="F260" t="s">
        <v>17</v>
      </c>
      <c r="G260" t="s">
        <v>27</v>
      </c>
      <c r="H260" s="1">
        <v>44245.354166666664</v>
      </c>
      <c r="I260" s="1">
        <v>44245.479166666664</v>
      </c>
      <c r="J260" s="4">
        <f t="shared" si="4"/>
        <v>0.125</v>
      </c>
      <c r="K260" t="s">
        <v>191</v>
      </c>
      <c r="M260">
        <v>0</v>
      </c>
      <c r="N260" s="6">
        <v>2.8935185185185189E-4</v>
      </c>
      <c r="Q260" s="2" t="s">
        <v>19</v>
      </c>
    </row>
    <row r="261" spans="1:17" ht="68" x14ac:dyDescent="0.2">
      <c r="A261" t="s">
        <v>189</v>
      </c>
      <c r="B261" t="s">
        <v>90</v>
      </c>
      <c r="C261" t="s">
        <v>91</v>
      </c>
      <c r="D261" s="3">
        <v>44245</v>
      </c>
      <c r="E261" s="1">
        <v>44245.470821759256</v>
      </c>
      <c r="F261" t="s">
        <v>17</v>
      </c>
      <c r="G261" t="s">
        <v>27</v>
      </c>
      <c r="H261" s="1">
        <v>44245.354166666664</v>
      </c>
      <c r="I261" s="1">
        <v>44245.479166666664</v>
      </c>
      <c r="J261" s="4">
        <f t="shared" si="4"/>
        <v>0.125</v>
      </c>
      <c r="K261" t="s">
        <v>191</v>
      </c>
      <c r="M261">
        <v>0</v>
      </c>
      <c r="N261" s="6">
        <v>1.0416666666666667E-3</v>
      </c>
      <c r="Q261" s="2" t="s">
        <v>19</v>
      </c>
    </row>
    <row r="262" spans="1:17" ht="68" x14ac:dyDescent="0.2">
      <c r="A262" t="s">
        <v>189</v>
      </c>
      <c r="B262" t="s">
        <v>90</v>
      </c>
      <c r="C262" t="s">
        <v>91</v>
      </c>
      <c r="D262" s="3">
        <v>44245</v>
      </c>
      <c r="E262" s="1">
        <v>44245.646527777775</v>
      </c>
      <c r="F262" t="s">
        <v>17</v>
      </c>
      <c r="G262" t="s">
        <v>28</v>
      </c>
      <c r="H262" s="1">
        <v>44245.5625</v>
      </c>
      <c r="I262" s="1">
        <v>44245.635416666664</v>
      </c>
      <c r="J262" s="4">
        <f t="shared" si="4"/>
        <v>7.2916666664241347E-2</v>
      </c>
      <c r="K262" t="s">
        <v>192</v>
      </c>
      <c r="M262">
        <v>0</v>
      </c>
      <c r="N262" s="6">
        <v>2.4305555555555556E-2</v>
      </c>
      <c r="Q262" s="2" t="s">
        <v>19</v>
      </c>
    </row>
    <row r="263" spans="1:17" ht="68" x14ac:dyDescent="0.2">
      <c r="A263" t="s">
        <v>189</v>
      </c>
      <c r="B263" t="s">
        <v>90</v>
      </c>
      <c r="C263" t="s">
        <v>91</v>
      </c>
      <c r="D263" s="3">
        <v>44246</v>
      </c>
      <c r="E263" s="1">
        <v>44246.472662037035</v>
      </c>
      <c r="F263" t="s">
        <v>17</v>
      </c>
      <c r="G263" t="s">
        <v>24</v>
      </c>
      <c r="H263" s="1">
        <v>44246.354166666664</v>
      </c>
      <c r="I263" s="1">
        <v>44246.479166666664</v>
      </c>
      <c r="J263" s="4">
        <f t="shared" si="4"/>
        <v>0.125</v>
      </c>
      <c r="K263" t="s">
        <v>190</v>
      </c>
      <c r="M263">
        <v>0</v>
      </c>
      <c r="N263" s="6">
        <v>9.0856481481481483E-3</v>
      </c>
      <c r="Q263" s="2" t="s">
        <v>19</v>
      </c>
    </row>
    <row r="264" spans="1:17" ht="68" x14ac:dyDescent="0.2">
      <c r="A264" t="s">
        <v>189</v>
      </c>
      <c r="B264" t="s">
        <v>90</v>
      </c>
      <c r="C264" t="s">
        <v>91</v>
      </c>
      <c r="D264" s="3">
        <v>44249</v>
      </c>
      <c r="E264" s="1">
        <v>44249.434930555559</v>
      </c>
      <c r="F264" t="s">
        <v>17</v>
      </c>
      <c r="G264" t="s">
        <v>29</v>
      </c>
      <c r="H264" s="1">
        <v>44249.354166666664</v>
      </c>
      <c r="I264" s="1">
        <v>44249.479166666664</v>
      </c>
      <c r="J264" s="4">
        <f t="shared" si="4"/>
        <v>0.125</v>
      </c>
      <c r="K264" t="s">
        <v>190</v>
      </c>
      <c r="M264">
        <v>0</v>
      </c>
      <c r="N264" s="6">
        <v>2.8229166666666666E-2</v>
      </c>
      <c r="Q264" s="2" t="s">
        <v>19</v>
      </c>
    </row>
    <row r="265" spans="1:17" ht="68" x14ac:dyDescent="0.2">
      <c r="A265" t="s">
        <v>189</v>
      </c>
      <c r="B265" t="s">
        <v>90</v>
      </c>
      <c r="C265" t="s">
        <v>91</v>
      </c>
      <c r="D265" s="3">
        <v>44249</v>
      </c>
      <c r="E265" s="1">
        <v>44249.477326388886</v>
      </c>
      <c r="F265" t="s">
        <v>17</v>
      </c>
      <c r="G265" t="s">
        <v>29</v>
      </c>
      <c r="H265" s="1">
        <v>44249.354166666664</v>
      </c>
      <c r="I265" s="1">
        <v>44249.479166666664</v>
      </c>
      <c r="J265" s="4">
        <f t="shared" si="4"/>
        <v>0.125</v>
      </c>
      <c r="K265" t="s">
        <v>190</v>
      </c>
      <c r="M265">
        <v>0</v>
      </c>
      <c r="N265" s="6">
        <v>9.0046296296296298E-3</v>
      </c>
      <c r="Q265" s="2" t="s">
        <v>19</v>
      </c>
    </row>
    <row r="266" spans="1:17" ht="102" x14ac:dyDescent="0.2">
      <c r="A266" t="s">
        <v>189</v>
      </c>
      <c r="B266" t="s">
        <v>90</v>
      </c>
      <c r="C266" t="s">
        <v>91</v>
      </c>
      <c r="D266" s="3">
        <v>44250</v>
      </c>
      <c r="E266" s="1">
        <v>44250.405578703707</v>
      </c>
      <c r="F266" t="s">
        <v>17</v>
      </c>
      <c r="G266" t="s">
        <v>20</v>
      </c>
      <c r="H266" s="1">
        <v>44250.354166666664</v>
      </c>
      <c r="I266" s="1">
        <v>44250.479166666664</v>
      </c>
      <c r="J266" s="4">
        <f t="shared" si="4"/>
        <v>0.125</v>
      </c>
      <c r="K266" t="s">
        <v>191</v>
      </c>
      <c r="M266">
        <v>0</v>
      </c>
      <c r="N266" s="6">
        <v>2.1412037037037038E-3</v>
      </c>
      <c r="O266" t="s">
        <v>93</v>
      </c>
      <c r="P266" t="s">
        <v>89</v>
      </c>
      <c r="Q266" s="2" t="s">
        <v>94</v>
      </c>
    </row>
    <row r="267" spans="1:17" ht="68" x14ac:dyDescent="0.2">
      <c r="A267" t="s">
        <v>189</v>
      </c>
      <c r="B267" t="s">
        <v>90</v>
      </c>
      <c r="C267" t="s">
        <v>91</v>
      </c>
      <c r="D267" s="3">
        <v>44250</v>
      </c>
      <c r="E267" s="1">
        <v>44250.418113425927</v>
      </c>
      <c r="F267" t="s">
        <v>17</v>
      </c>
      <c r="G267" t="s">
        <v>20</v>
      </c>
      <c r="H267" s="1">
        <v>44250.354166666664</v>
      </c>
      <c r="I267" s="1">
        <v>44250.479166666664</v>
      </c>
      <c r="J267" s="4">
        <f t="shared" si="4"/>
        <v>0.125</v>
      </c>
      <c r="K267" t="s">
        <v>191</v>
      </c>
      <c r="M267">
        <v>0</v>
      </c>
      <c r="N267" s="6">
        <v>3.8194444444444443E-3</v>
      </c>
      <c r="Q267" s="2" t="s">
        <v>19</v>
      </c>
    </row>
    <row r="268" spans="1:17" ht="68" x14ac:dyDescent="0.2">
      <c r="A268" t="s">
        <v>189</v>
      </c>
      <c r="B268" t="s">
        <v>90</v>
      </c>
      <c r="C268" t="s">
        <v>91</v>
      </c>
      <c r="D268" s="3">
        <v>44250</v>
      </c>
      <c r="E268" s="1">
        <v>44250.595231481479</v>
      </c>
      <c r="F268" t="s">
        <v>17</v>
      </c>
      <c r="G268" t="s">
        <v>30</v>
      </c>
      <c r="H268" s="1">
        <v>44250.5625</v>
      </c>
      <c r="I268" s="1">
        <v>44250.6875</v>
      </c>
      <c r="J268" s="4">
        <f t="shared" si="4"/>
        <v>0.125</v>
      </c>
      <c r="K268" t="s">
        <v>192</v>
      </c>
      <c r="M268">
        <v>0</v>
      </c>
      <c r="N268" s="6">
        <v>1.8055555555555557E-3</v>
      </c>
      <c r="Q268" s="2" t="s">
        <v>19</v>
      </c>
    </row>
    <row r="269" spans="1:17" ht="68" x14ac:dyDescent="0.2">
      <c r="A269" t="s">
        <v>189</v>
      </c>
      <c r="B269" t="s">
        <v>90</v>
      </c>
      <c r="C269" t="s">
        <v>91</v>
      </c>
      <c r="D269" s="3">
        <v>44250</v>
      </c>
      <c r="E269" s="1">
        <v>44250.610995370371</v>
      </c>
      <c r="F269" t="s">
        <v>17</v>
      </c>
      <c r="G269" t="s">
        <v>30</v>
      </c>
      <c r="H269" s="1">
        <v>44250.5625</v>
      </c>
      <c r="I269" s="1">
        <v>44250.6875</v>
      </c>
      <c r="J269" s="4">
        <f t="shared" si="4"/>
        <v>0.125</v>
      </c>
      <c r="K269" t="s">
        <v>192</v>
      </c>
      <c r="M269">
        <v>0</v>
      </c>
      <c r="N269" s="6">
        <v>1.3379629629629628E-2</v>
      </c>
      <c r="Q269" s="2" t="s">
        <v>19</v>
      </c>
    </row>
    <row r="270" spans="1:17" ht="68" x14ac:dyDescent="0.2">
      <c r="A270" t="s">
        <v>189</v>
      </c>
      <c r="B270" t="s">
        <v>90</v>
      </c>
      <c r="C270" t="s">
        <v>91</v>
      </c>
      <c r="D270" s="3">
        <v>44251</v>
      </c>
      <c r="E270" s="1">
        <v>44251.473634259259</v>
      </c>
      <c r="F270" t="s">
        <v>17</v>
      </c>
      <c r="G270" t="s">
        <v>31</v>
      </c>
      <c r="H270" s="1">
        <v>44251.354166666664</v>
      </c>
      <c r="I270" s="1">
        <v>44251.479166666664</v>
      </c>
      <c r="J270" s="4">
        <f t="shared" si="4"/>
        <v>0.125</v>
      </c>
      <c r="K270" t="s">
        <v>190</v>
      </c>
      <c r="M270">
        <v>0</v>
      </c>
      <c r="N270" s="6">
        <v>0</v>
      </c>
      <c r="Q270" s="2" t="s">
        <v>19</v>
      </c>
    </row>
    <row r="271" spans="1:17" ht="68" x14ac:dyDescent="0.2">
      <c r="A271" t="s">
        <v>189</v>
      </c>
      <c r="B271" t="s">
        <v>90</v>
      </c>
      <c r="C271" t="s">
        <v>91</v>
      </c>
      <c r="D271" s="3">
        <v>44252</v>
      </c>
      <c r="E271" s="1">
        <v>44252.374756944446</v>
      </c>
      <c r="F271" t="s">
        <v>17</v>
      </c>
      <c r="G271" t="s">
        <v>27</v>
      </c>
      <c r="H271" s="1">
        <v>44252.354166666664</v>
      </c>
      <c r="I271" s="1">
        <v>44252.479166666664</v>
      </c>
      <c r="J271" s="4">
        <f t="shared" si="4"/>
        <v>0.125</v>
      </c>
      <c r="K271" t="s">
        <v>191</v>
      </c>
      <c r="M271">
        <v>0</v>
      </c>
      <c r="N271" s="6">
        <v>8.449074074074075E-4</v>
      </c>
      <c r="Q271" s="2" t="s">
        <v>19</v>
      </c>
    </row>
    <row r="272" spans="1:17" ht="68" x14ac:dyDescent="0.2">
      <c r="A272" t="s">
        <v>189</v>
      </c>
      <c r="B272" t="s">
        <v>90</v>
      </c>
      <c r="C272" t="s">
        <v>91</v>
      </c>
      <c r="D272" s="3">
        <v>44252</v>
      </c>
      <c r="E272" s="1">
        <v>44252.375358796293</v>
      </c>
      <c r="F272" t="s">
        <v>17</v>
      </c>
      <c r="G272" t="s">
        <v>27</v>
      </c>
      <c r="H272" s="1">
        <v>44252.354166666664</v>
      </c>
      <c r="I272" s="1">
        <v>44252.479166666664</v>
      </c>
      <c r="J272" s="4">
        <f t="shared" si="4"/>
        <v>0.125</v>
      </c>
      <c r="K272" t="s">
        <v>191</v>
      </c>
      <c r="M272">
        <v>0</v>
      </c>
      <c r="N272" s="6">
        <v>5.4398148148148144E-4</v>
      </c>
      <c r="Q272" s="2" t="s">
        <v>19</v>
      </c>
    </row>
    <row r="273" spans="1:17" ht="68" x14ac:dyDescent="0.2">
      <c r="A273" t="s">
        <v>189</v>
      </c>
      <c r="B273" t="s">
        <v>90</v>
      </c>
      <c r="C273" t="s">
        <v>91</v>
      </c>
      <c r="D273" s="3">
        <v>44252</v>
      </c>
      <c r="E273" s="1">
        <v>44252.391516203701</v>
      </c>
      <c r="F273" t="s">
        <v>17</v>
      </c>
      <c r="G273" t="s">
        <v>27</v>
      </c>
      <c r="H273" s="1">
        <v>44252.354166666664</v>
      </c>
      <c r="I273" s="1">
        <v>44252.479166666664</v>
      </c>
      <c r="J273" s="4">
        <f t="shared" si="4"/>
        <v>0.125</v>
      </c>
      <c r="K273" t="s">
        <v>191</v>
      </c>
      <c r="M273">
        <v>0</v>
      </c>
      <c r="N273" s="6">
        <v>4.0509259259259258E-4</v>
      </c>
      <c r="Q273" s="2" t="s">
        <v>19</v>
      </c>
    </row>
    <row r="274" spans="1:17" ht="68" x14ac:dyDescent="0.2">
      <c r="A274" t="s">
        <v>189</v>
      </c>
      <c r="B274" t="s">
        <v>90</v>
      </c>
      <c r="C274" t="s">
        <v>91</v>
      </c>
      <c r="D274" s="3">
        <v>44252</v>
      </c>
      <c r="E274" s="1">
        <v>44252.393240740741</v>
      </c>
      <c r="F274" t="s">
        <v>17</v>
      </c>
      <c r="G274" t="s">
        <v>27</v>
      </c>
      <c r="H274" s="1">
        <v>44252.354166666664</v>
      </c>
      <c r="I274" s="1">
        <v>44252.479166666664</v>
      </c>
      <c r="J274" s="4">
        <f t="shared" si="4"/>
        <v>0.125</v>
      </c>
      <c r="K274" t="s">
        <v>191</v>
      </c>
      <c r="M274">
        <v>0</v>
      </c>
      <c r="N274" s="6">
        <v>2.6620370370370372E-4</v>
      </c>
      <c r="Q274" s="2" t="s">
        <v>19</v>
      </c>
    </row>
    <row r="275" spans="1:17" ht="68" x14ac:dyDescent="0.2">
      <c r="A275" t="s">
        <v>189</v>
      </c>
      <c r="B275" t="s">
        <v>90</v>
      </c>
      <c r="C275" t="s">
        <v>91</v>
      </c>
      <c r="D275" s="3">
        <v>44252</v>
      </c>
      <c r="E275" s="1">
        <v>44252.408576388887</v>
      </c>
      <c r="F275" t="s">
        <v>17</v>
      </c>
      <c r="G275" t="s">
        <v>27</v>
      </c>
      <c r="H275" s="1">
        <v>44252.354166666664</v>
      </c>
      <c r="I275" s="1">
        <v>44252.479166666664</v>
      </c>
      <c r="J275" s="4">
        <f t="shared" si="4"/>
        <v>0.125</v>
      </c>
      <c r="K275" t="s">
        <v>191</v>
      </c>
      <c r="M275">
        <v>0</v>
      </c>
      <c r="N275" s="6">
        <v>1.1226851851851851E-3</v>
      </c>
      <c r="Q275" s="2" t="s">
        <v>19</v>
      </c>
    </row>
    <row r="276" spans="1:17" ht="68" x14ac:dyDescent="0.2">
      <c r="A276" t="s">
        <v>189</v>
      </c>
      <c r="B276" t="s">
        <v>90</v>
      </c>
      <c r="C276" t="s">
        <v>91</v>
      </c>
      <c r="D276" s="3">
        <v>44252</v>
      </c>
      <c r="E276" s="1">
        <v>44252.408715277779</v>
      </c>
      <c r="F276" t="s">
        <v>17</v>
      </c>
      <c r="G276" t="s">
        <v>27</v>
      </c>
      <c r="H276" s="1">
        <v>44252.354166666664</v>
      </c>
      <c r="I276" s="1">
        <v>44252.479166666664</v>
      </c>
      <c r="J276" s="4">
        <f t="shared" si="4"/>
        <v>0.125</v>
      </c>
      <c r="K276" t="s">
        <v>191</v>
      </c>
      <c r="M276">
        <v>0</v>
      </c>
      <c r="N276" s="5" t="s">
        <v>144</v>
      </c>
      <c r="Q276" s="2" t="s">
        <v>19</v>
      </c>
    </row>
    <row r="277" spans="1:17" ht="68" x14ac:dyDescent="0.2">
      <c r="A277" t="s">
        <v>189</v>
      </c>
      <c r="B277" t="s">
        <v>90</v>
      </c>
      <c r="C277" t="s">
        <v>91</v>
      </c>
      <c r="D277" s="3">
        <v>44252</v>
      </c>
      <c r="E277" s="1">
        <v>44252.472615740742</v>
      </c>
      <c r="F277" t="s">
        <v>17</v>
      </c>
      <c r="G277" t="s">
        <v>27</v>
      </c>
      <c r="H277" s="1">
        <v>44252.354166666664</v>
      </c>
      <c r="I277" s="1">
        <v>44252.479166666664</v>
      </c>
      <c r="J277" s="4">
        <f t="shared" si="4"/>
        <v>0.125</v>
      </c>
      <c r="K277" t="s">
        <v>191</v>
      </c>
      <c r="M277">
        <v>0</v>
      </c>
      <c r="N277" s="6">
        <v>6.7129629629629625E-4</v>
      </c>
      <c r="Q277" s="2" t="s">
        <v>19</v>
      </c>
    </row>
    <row r="278" spans="1:17" ht="68" x14ac:dyDescent="0.2">
      <c r="A278" t="s">
        <v>189</v>
      </c>
      <c r="B278" t="s">
        <v>90</v>
      </c>
      <c r="C278" t="s">
        <v>91</v>
      </c>
      <c r="D278" s="3">
        <v>44252</v>
      </c>
      <c r="E278" s="1">
        <v>44252.593321759261</v>
      </c>
      <c r="F278" t="s">
        <v>17</v>
      </c>
      <c r="G278" t="s">
        <v>23</v>
      </c>
      <c r="H278" s="1">
        <v>44252.5625</v>
      </c>
      <c r="I278" s="1">
        <v>44252.6875</v>
      </c>
      <c r="J278" s="4">
        <f t="shared" si="4"/>
        <v>0.125</v>
      </c>
      <c r="K278" t="s">
        <v>192</v>
      </c>
      <c r="M278">
        <v>0</v>
      </c>
      <c r="N278" s="6">
        <v>8.9120370370370362E-4</v>
      </c>
      <c r="Q278" s="2" t="s">
        <v>19</v>
      </c>
    </row>
    <row r="279" spans="1:17" ht="68" x14ac:dyDescent="0.2">
      <c r="A279" t="s">
        <v>189</v>
      </c>
      <c r="B279" t="s">
        <v>90</v>
      </c>
      <c r="C279" t="s">
        <v>91</v>
      </c>
      <c r="D279" s="3">
        <v>44252</v>
      </c>
      <c r="E279" s="1">
        <v>44252.600844907407</v>
      </c>
      <c r="F279" t="s">
        <v>17</v>
      </c>
      <c r="G279" t="s">
        <v>23</v>
      </c>
      <c r="H279" s="1">
        <v>44252.5625</v>
      </c>
      <c r="I279" s="1">
        <v>44252.6875</v>
      </c>
      <c r="J279" s="4">
        <f t="shared" si="4"/>
        <v>0.125</v>
      </c>
      <c r="K279" t="s">
        <v>192</v>
      </c>
      <c r="M279">
        <v>0</v>
      </c>
      <c r="N279" s="6">
        <v>6.7129629629629622E-3</v>
      </c>
      <c r="Q279" s="2" t="s">
        <v>19</v>
      </c>
    </row>
    <row r="280" spans="1:17" ht="68" x14ac:dyDescent="0.2">
      <c r="A280" t="s">
        <v>189</v>
      </c>
      <c r="B280" t="s">
        <v>90</v>
      </c>
      <c r="C280" t="s">
        <v>91</v>
      </c>
      <c r="D280" s="3">
        <v>44252</v>
      </c>
      <c r="E280" s="1">
        <v>44252.63486111111</v>
      </c>
      <c r="F280" t="s">
        <v>17</v>
      </c>
      <c r="G280" t="s">
        <v>23</v>
      </c>
      <c r="H280" s="1">
        <v>44252.5625</v>
      </c>
      <c r="I280" s="1">
        <v>44252.6875</v>
      </c>
      <c r="J280" s="4">
        <f t="shared" si="4"/>
        <v>0.125</v>
      </c>
      <c r="K280" t="s">
        <v>192</v>
      </c>
      <c r="M280">
        <v>0</v>
      </c>
      <c r="N280" s="6">
        <v>6.9328703703703696E-3</v>
      </c>
      <c r="Q280" s="2" t="s">
        <v>19</v>
      </c>
    </row>
    <row r="281" spans="1:17" ht="68" x14ac:dyDescent="0.2">
      <c r="A281" t="s">
        <v>189</v>
      </c>
      <c r="B281" t="s">
        <v>90</v>
      </c>
      <c r="C281" t="s">
        <v>91</v>
      </c>
      <c r="D281" s="3">
        <v>44253</v>
      </c>
      <c r="E281" s="1">
        <v>44253.473402777781</v>
      </c>
      <c r="F281" t="s">
        <v>17</v>
      </c>
      <c r="G281" t="s">
        <v>24</v>
      </c>
      <c r="H281" s="1">
        <v>44253.354166666664</v>
      </c>
      <c r="I281" s="1">
        <v>44253.479166666664</v>
      </c>
      <c r="J281" s="4">
        <f t="shared" si="4"/>
        <v>0.125</v>
      </c>
      <c r="K281" t="s">
        <v>190</v>
      </c>
      <c r="M281">
        <v>0</v>
      </c>
      <c r="N281" s="6">
        <v>0</v>
      </c>
      <c r="Q281" s="2" t="s">
        <v>19</v>
      </c>
    </row>
    <row r="282" spans="1:17" ht="68" x14ac:dyDescent="0.2">
      <c r="A282" t="s">
        <v>189</v>
      </c>
      <c r="B282" t="s">
        <v>90</v>
      </c>
      <c r="C282" t="s">
        <v>91</v>
      </c>
      <c r="D282" s="3">
        <v>44256</v>
      </c>
      <c r="E282" s="1">
        <v>44256.468518518515</v>
      </c>
      <c r="F282" t="s">
        <v>17</v>
      </c>
      <c r="G282" t="s">
        <v>26</v>
      </c>
      <c r="H282" s="1">
        <v>44256.354166666664</v>
      </c>
      <c r="I282" s="1">
        <v>44256.479166666664</v>
      </c>
      <c r="J282" s="4">
        <f t="shared" si="4"/>
        <v>0.125</v>
      </c>
      <c r="K282" t="s">
        <v>190</v>
      </c>
      <c r="M282">
        <v>0</v>
      </c>
      <c r="N282" s="6">
        <v>2.3032407407407404E-2</v>
      </c>
      <c r="Q282" s="2" t="s">
        <v>19</v>
      </c>
    </row>
    <row r="283" spans="1:17" ht="68" x14ac:dyDescent="0.2">
      <c r="A283" t="s">
        <v>189</v>
      </c>
      <c r="B283" t="s">
        <v>90</v>
      </c>
      <c r="C283" t="s">
        <v>91</v>
      </c>
      <c r="D283" s="3">
        <v>44256</v>
      </c>
      <c r="E283" s="1">
        <v>44256.471724537034</v>
      </c>
      <c r="F283" t="s">
        <v>17</v>
      </c>
      <c r="G283" t="s">
        <v>26</v>
      </c>
      <c r="H283" s="1">
        <v>44256.354166666664</v>
      </c>
      <c r="I283" s="1">
        <v>44256.479166666664</v>
      </c>
      <c r="J283" s="4">
        <f t="shared" si="4"/>
        <v>0.125</v>
      </c>
      <c r="K283" t="s">
        <v>190</v>
      </c>
      <c r="M283">
        <v>0</v>
      </c>
      <c r="N283" s="6">
        <v>8.9120370370370362E-4</v>
      </c>
      <c r="Q283" s="2" t="s">
        <v>19</v>
      </c>
    </row>
    <row r="284" spans="1:17" ht="68" x14ac:dyDescent="0.2">
      <c r="A284" t="s">
        <v>189</v>
      </c>
      <c r="B284" t="s">
        <v>90</v>
      </c>
      <c r="C284" t="s">
        <v>91</v>
      </c>
      <c r="D284" s="3">
        <v>44257</v>
      </c>
      <c r="E284" s="1">
        <v>44257.371979166666</v>
      </c>
      <c r="F284" t="s">
        <v>17</v>
      </c>
      <c r="G284" t="s">
        <v>32</v>
      </c>
      <c r="H284" s="1">
        <v>44257.354166666664</v>
      </c>
      <c r="I284" s="1">
        <v>44257.479166666664</v>
      </c>
      <c r="J284" s="4">
        <f t="shared" si="4"/>
        <v>0.125</v>
      </c>
      <c r="K284" t="s">
        <v>191</v>
      </c>
      <c r="M284">
        <v>0</v>
      </c>
      <c r="N284" s="6">
        <v>5.9027777777777778E-4</v>
      </c>
      <c r="Q284" s="2" t="s">
        <v>19</v>
      </c>
    </row>
    <row r="285" spans="1:17" ht="68" x14ac:dyDescent="0.2">
      <c r="A285" t="s">
        <v>189</v>
      </c>
      <c r="B285" t="s">
        <v>90</v>
      </c>
      <c r="C285" t="s">
        <v>91</v>
      </c>
      <c r="D285" s="3">
        <v>44257</v>
      </c>
      <c r="E285" s="1">
        <v>44257.372881944444</v>
      </c>
      <c r="F285" t="s">
        <v>17</v>
      </c>
      <c r="G285" t="s">
        <v>32</v>
      </c>
      <c r="H285" s="1">
        <v>44257.354166666664</v>
      </c>
      <c r="I285" s="1">
        <v>44257.479166666664</v>
      </c>
      <c r="J285" s="4">
        <f t="shared" si="4"/>
        <v>0.125</v>
      </c>
      <c r="K285" t="s">
        <v>191</v>
      </c>
      <c r="M285">
        <v>0</v>
      </c>
      <c r="N285" s="6">
        <v>1.7361111111111112E-4</v>
      </c>
      <c r="Q285" s="2" t="s">
        <v>19</v>
      </c>
    </row>
    <row r="286" spans="1:17" ht="68" x14ac:dyDescent="0.2">
      <c r="A286" t="s">
        <v>189</v>
      </c>
      <c r="B286" t="s">
        <v>90</v>
      </c>
      <c r="C286" t="s">
        <v>91</v>
      </c>
      <c r="D286" s="3">
        <v>44257</v>
      </c>
      <c r="E286" s="1">
        <v>44257.378634259258</v>
      </c>
      <c r="F286" t="s">
        <v>17</v>
      </c>
      <c r="G286" t="s">
        <v>32</v>
      </c>
      <c r="H286" s="1">
        <v>44257.354166666664</v>
      </c>
      <c r="I286" s="1">
        <v>44257.479166666664</v>
      </c>
      <c r="J286" s="4">
        <f t="shared" si="4"/>
        <v>0.125</v>
      </c>
      <c r="K286" t="s">
        <v>191</v>
      </c>
      <c r="M286">
        <v>0</v>
      </c>
      <c r="N286" s="6">
        <v>5.5208333333333333E-3</v>
      </c>
      <c r="Q286" s="2" t="s">
        <v>19</v>
      </c>
    </row>
    <row r="287" spans="1:17" ht="68" x14ac:dyDescent="0.2">
      <c r="A287" t="s">
        <v>189</v>
      </c>
      <c r="B287" t="s">
        <v>90</v>
      </c>
      <c r="C287" t="s">
        <v>91</v>
      </c>
      <c r="D287" s="3">
        <v>44257</v>
      </c>
      <c r="E287" s="1">
        <v>44257.379305555558</v>
      </c>
      <c r="F287" t="s">
        <v>17</v>
      </c>
      <c r="G287" t="s">
        <v>32</v>
      </c>
      <c r="H287" s="1">
        <v>44257.354166666664</v>
      </c>
      <c r="I287" s="1">
        <v>44257.479166666664</v>
      </c>
      <c r="J287" s="4">
        <f t="shared" si="4"/>
        <v>0.125</v>
      </c>
      <c r="K287" t="s">
        <v>191</v>
      </c>
      <c r="M287">
        <v>0</v>
      </c>
      <c r="N287" s="6">
        <v>1.5046296296296297E-4</v>
      </c>
      <c r="Q287" s="2" t="s">
        <v>19</v>
      </c>
    </row>
    <row r="288" spans="1:17" ht="68" x14ac:dyDescent="0.2">
      <c r="A288" t="s">
        <v>189</v>
      </c>
      <c r="B288" t="s">
        <v>90</v>
      </c>
      <c r="C288" t="s">
        <v>91</v>
      </c>
      <c r="D288" s="3">
        <v>44257</v>
      </c>
      <c r="E288" s="1">
        <v>44257.395613425928</v>
      </c>
      <c r="F288" t="s">
        <v>17</v>
      </c>
      <c r="G288" t="s">
        <v>32</v>
      </c>
      <c r="H288" s="1">
        <v>44257.354166666664</v>
      </c>
      <c r="I288" s="1">
        <v>44257.479166666664</v>
      </c>
      <c r="J288" s="4">
        <f t="shared" si="4"/>
        <v>0.125</v>
      </c>
      <c r="K288" t="s">
        <v>191</v>
      </c>
      <c r="M288">
        <v>0</v>
      </c>
      <c r="N288" s="6">
        <v>3.6921296296296298E-3</v>
      </c>
      <c r="Q288" s="2" t="s">
        <v>19</v>
      </c>
    </row>
    <row r="289" spans="1:17" ht="68" x14ac:dyDescent="0.2">
      <c r="A289" t="s">
        <v>189</v>
      </c>
      <c r="B289" t="s">
        <v>90</v>
      </c>
      <c r="C289" t="s">
        <v>91</v>
      </c>
      <c r="D289" s="3">
        <v>44257</v>
      </c>
      <c r="E289" s="1">
        <v>44257.423831018517</v>
      </c>
      <c r="F289" t="s">
        <v>17</v>
      </c>
      <c r="G289" t="s">
        <v>32</v>
      </c>
      <c r="H289" s="1">
        <v>44257.354166666664</v>
      </c>
      <c r="I289" s="1">
        <v>44257.479166666664</v>
      </c>
      <c r="J289" s="4">
        <f t="shared" si="4"/>
        <v>0.125</v>
      </c>
      <c r="K289" t="s">
        <v>191</v>
      </c>
      <c r="M289">
        <v>0</v>
      </c>
      <c r="N289" s="6">
        <v>3.5879629629629635E-4</v>
      </c>
      <c r="Q289" s="2" t="s">
        <v>19</v>
      </c>
    </row>
    <row r="290" spans="1:17" ht="68" x14ac:dyDescent="0.2">
      <c r="A290" t="s">
        <v>189</v>
      </c>
      <c r="B290" t="s">
        <v>90</v>
      </c>
      <c r="C290" t="s">
        <v>91</v>
      </c>
      <c r="D290" s="3">
        <v>44257</v>
      </c>
      <c r="E290" s="1">
        <v>44257.436782407407</v>
      </c>
      <c r="F290" t="s">
        <v>17</v>
      </c>
      <c r="G290" t="s">
        <v>32</v>
      </c>
      <c r="H290" s="1">
        <v>44257.354166666664</v>
      </c>
      <c r="I290" s="1">
        <v>44257.479166666664</v>
      </c>
      <c r="J290" s="4">
        <f t="shared" si="4"/>
        <v>0.125</v>
      </c>
      <c r="K290" t="s">
        <v>191</v>
      </c>
      <c r="M290">
        <v>0</v>
      </c>
      <c r="N290" s="6">
        <v>1.5624999999999999E-3</v>
      </c>
      <c r="Q290" s="2" t="s">
        <v>19</v>
      </c>
    </row>
    <row r="291" spans="1:17" ht="68" x14ac:dyDescent="0.2">
      <c r="A291" t="s">
        <v>189</v>
      </c>
      <c r="B291" t="s">
        <v>90</v>
      </c>
      <c r="C291" t="s">
        <v>91</v>
      </c>
      <c r="D291" s="3">
        <v>44257</v>
      </c>
      <c r="E291" s="1">
        <v>44257.572094907409</v>
      </c>
      <c r="F291" t="s">
        <v>17</v>
      </c>
      <c r="G291" t="s">
        <v>33</v>
      </c>
      <c r="H291" s="1">
        <v>44257.5625</v>
      </c>
      <c r="I291" s="1">
        <v>44257.6875</v>
      </c>
      <c r="J291" s="4">
        <f t="shared" si="4"/>
        <v>0.125</v>
      </c>
      <c r="K291" t="s">
        <v>192</v>
      </c>
      <c r="M291">
        <v>0</v>
      </c>
      <c r="N291" s="5" t="s">
        <v>144</v>
      </c>
      <c r="Q291" s="2" t="s">
        <v>19</v>
      </c>
    </row>
    <row r="292" spans="1:17" ht="68" x14ac:dyDescent="0.2">
      <c r="A292" t="s">
        <v>189</v>
      </c>
      <c r="B292" t="s">
        <v>90</v>
      </c>
      <c r="C292" t="s">
        <v>91</v>
      </c>
      <c r="D292" s="3">
        <v>44257</v>
      </c>
      <c r="E292" s="1">
        <v>44257.591307870367</v>
      </c>
      <c r="F292" t="s">
        <v>17</v>
      </c>
      <c r="G292" t="s">
        <v>33</v>
      </c>
      <c r="H292" s="1">
        <v>44257.5625</v>
      </c>
      <c r="I292" s="1">
        <v>44257.6875</v>
      </c>
      <c r="J292" s="4">
        <f t="shared" si="4"/>
        <v>0.125</v>
      </c>
      <c r="K292" t="s">
        <v>192</v>
      </c>
      <c r="M292">
        <v>0</v>
      </c>
      <c r="N292" s="6">
        <v>2.9745370370370373E-3</v>
      </c>
      <c r="Q292" s="2" t="s">
        <v>19</v>
      </c>
    </row>
    <row r="293" spans="1:17" ht="68" x14ac:dyDescent="0.2">
      <c r="A293" t="s">
        <v>189</v>
      </c>
      <c r="B293" t="s">
        <v>90</v>
      </c>
      <c r="C293" t="s">
        <v>91</v>
      </c>
      <c r="D293" s="3">
        <v>44257</v>
      </c>
      <c r="E293" s="1">
        <v>44257.592002314814</v>
      </c>
      <c r="F293" t="s">
        <v>17</v>
      </c>
      <c r="G293" t="s">
        <v>33</v>
      </c>
      <c r="H293" s="1">
        <v>44257.5625</v>
      </c>
      <c r="I293" s="1">
        <v>44257.6875</v>
      </c>
      <c r="J293" s="4">
        <f t="shared" si="4"/>
        <v>0.125</v>
      </c>
      <c r="K293" t="s">
        <v>192</v>
      </c>
      <c r="M293">
        <v>0</v>
      </c>
      <c r="N293" s="6">
        <v>6.7129629629629625E-4</v>
      </c>
      <c r="Q293" s="2" t="s">
        <v>19</v>
      </c>
    </row>
    <row r="294" spans="1:17" ht="68" x14ac:dyDescent="0.2">
      <c r="A294" t="s">
        <v>189</v>
      </c>
      <c r="B294" t="s">
        <v>90</v>
      </c>
      <c r="C294" t="s">
        <v>91</v>
      </c>
      <c r="D294" s="3">
        <v>44257</v>
      </c>
      <c r="E294" s="1">
        <v>44257.594618055555</v>
      </c>
      <c r="F294" t="s">
        <v>17</v>
      </c>
      <c r="G294" t="s">
        <v>33</v>
      </c>
      <c r="H294" s="1">
        <v>44257.5625</v>
      </c>
      <c r="I294" s="1">
        <v>44257.6875</v>
      </c>
      <c r="J294" s="4">
        <f t="shared" si="4"/>
        <v>0.125</v>
      </c>
      <c r="K294" t="s">
        <v>192</v>
      </c>
      <c r="M294">
        <v>0</v>
      </c>
      <c r="N294" s="6">
        <v>1.9907407407407408E-3</v>
      </c>
      <c r="Q294" s="2" t="s">
        <v>19</v>
      </c>
    </row>
    <row r="295" spans="1:17" ht="68" x14ac:dyDescent="0.2">
      <c r="A295" t="s">
        <v>189</v>
      </c>
      <c r="B295" t="s">
        <v>90</v>
      </c>
      <c r="C295" t="s">
        <v>91</v>
      </c>
      <c r="D295" s="3">
        <v>44257</v>
      </c>
      <c r="E295" s="1">
        <v>44257.617384259262</v>
      </c>
      <c r="F295" t="s">
        <v>17</v>
      </c>
      <c r="G295" t="s">
        <v>33</v>
      </c>
      <c r="H295" s="1">
        <v>44257.5625</v>
      </c>
      <c r="I295" s="1">
        <v>44257.6875</v>
      </c>
      <c r="J295" s="4">
        <f t="shared" si="4"/>
        <v>0.125</v>
      </c>
      <c r="K295" t="s">
        <v>192</v>
      </c>
      <c r="M295">
        <v>0</v>
      </c>
      <c r="N295" s="6">
        <v>2.2453703703703708E-2</v>
      </c>
      <c r="Q295" s="2" t="s">
        <v>19</v>
      </c>
    </row>
    <row r="296" spans="1:17" ht="68" x14ac:dyDescent="0.2">
      <c r="A296" t="s">
        <v>189</v>
      </c>
      <c r="B296" t="s">
        <v>90</v>
      </c>
      <c r="C296" t="s">
        <v>91</v>
      </c>
      <c r="D296" s="3">
        <v>44257</v>
      </c>
      <c r="E296" s="1">
        <v>44257.628379629627</v>
      </c>
      <c r="F296" t="s">
        <v>17</v>
      </c>
      <c r="G296" t="s">
        <v>33</v>
      </c>
      <c r="H296" s="1">
        <v>44257.5625</v>
      </c>
      <c r="I296" s="1">
        <v>44257.6875</v>
      </c>
      <c r="J296" s="4">
        <f t="shared" si="4"/>
        <v>0.125</v>
      </c>
      <c r="K296" t="s">
        <v>192</v>
      </c>
      <c r="M296">
        <v>0</v>
      </c>
      <c r="N296" s="6">
        <v>1.082175925925926E-2</v>
      </c>
      <c r="Q296" s="2" t="s">
        <v>19</v>
      </c>
    </row>
    <row r="297" spans="1:17" ht="68" x14ac:dyDescent="0.2">
      <c r="A297" t="s">
        <v>189</v>
      </c>
      <c r="B297" t="s">
        <v>90</v>
      </c>
      <c r="C297" t="s">
        <v>91</v>
      </c>
      <c r="D297" s="3">
        <v>44257</v>
      </c>
      <c r="E297" s="1">
        <v>44257.643240740741</v>
      </c>
      <c r="F297" t="s">
        <v>17</v>
      </c>
      <c r="G297" t="s">
        <v>33</v>
      </c>
      <c r="H297" s="1">
        <v>44257.5625</v>
      </c>
      <c r="I297" s="1">
        <v>44257.6875</v>
      </c>
      <c r="J297" s="4">
        <f t="shared" si="4"/>
        <v>0.125</v>
      </c>
      <c r="K297" t="s">
        <v>192</v>
      </c>
      <c r="M297">
        <v>0</v>
      </c>
      <c r="N297" s="6">
        <v>1.3668981481481482E-2</v>
      </c>
      <c r="Q297" s="2" t="s">
        <v>19</v>
      </c>
    </row>
    <row r="298" spans="1:17" ht="68" x14ac:dyDescent="0.2">
      <c r="A298" t="s">
        <v>189</v>
      </c>
      <c r="B298" t="s">
        <v>90</v>
      </c>
      <c r="C298" t="s">
        <v>91</v>
      </c>
      <c r="D298" s="3">
        <v>44257</v>
      </c>
      <c r="E298" s="1">
        <v>44257.679942129631</v>
      </c>
      <c r="F298" t="s">
        <v>17</v>
      </c>
      <c r="G298" t="s">
        <v>33</v>
      </c>
      <c r="H298" s="1">
        <v>44257.5625</v>
      </c>
      <c r="I298" s="1">
        <v>44257.6875</v>
      </c>
      <c r="J298" s="4">
        <f t="shared" si="4"/>
        <v>0.125</v>
      </c>
      <c r="K298" t="s">
        <v>192</v>
      </c>
      <c r="M298">
        <v>0</v>
      </c>
      <c r="N298" s="6">
        <v>2.1759259259259258E-3</v>
      </c>
      <c r="Q298" s="2" t="s">
        <v>19</v>
      </c>
    </row>
    <row r="299" spans="1:17" ht="68" x14ac:dyDescent="0.2">
      <c r="A299" t="s">
        <v>189</v>
      </c>
      <c r="B299" t="s">
        <v>90</v>
      </c>
      <c r="C299" t="s">
        <v>91</v>
      </c>
      <c r="D299" s="3">
        <v>44258</v>
      </c>
      <c r="E299" s="1">
        <v>44258.473287037035</v>
      </c>
      <c r="F299" t="s">
        <v>17</v>
      </c>
      <c r="G299" t="s">
        <v>31</v>
      </c>
      <c r="H299" s="1">
        <v>44258.354166666664</v>
      </c>
      <c r="I299" s="1">
        <v>44258.458333333336</v>
      </c>
      <c r="J299" s="4">
        <f t="shared" si="4"/>
        <v>0.10416666667151731</v>
      </c>
      <c r="K299" t="s">
        <v>190</v>
      </c>
      <c r="M299">
        <v>0</v>
      </c>
      <c r="N299" s="6">
        <v>1.4571759259259258E-2</v>
      </c>
      <c r="Q299" s="2" t="s">
        <v>19</v>
      </c>
    </row>
    <row r="300" spans="1:17" ht="68" x14ac:dyDescent="0.2">
      <c r="A300" t="s">
        <v>189</v>
      </c>
      <c r="B300" t="s">
        <v>90</v>
      </c>
      <c r="C300" t="s">
        <v>91</v>
      </c>
      <c r="D300" s="3">
        <v>44258</v>
      </c>
      <c r="E300" s="1">
        <v>44258.473298611112</v>
      </c>
      <c r="F300" t="s">
        <v>17</v>
      </c>
      <c r="G300" t="s">
        <v>31</v>
      </c>
      <c r="H300" s="1">
        <v>44258.354166666664</v>
      </c>
      <c r="I300" s="1">
        <v>44258.458333333336</v>
      </c>
      <c r="J300" s="4">
        <f t="shared" si="4"/>
        <v>0.10416666667151731</v>
      </c>
      <c r="K300" t="s">
        <v>190</v>
      </c>
      <c r="M300">
        <v>0</v>
      </c>
      <c r="N300" s="6">
        <v>0</v>
      </c>
      <c r="Q300" s="2" t="s">
        <v>19</v>
      </c>
    </row>
    <row r="301" spans="1:17" ht="68" x14ac:dyDescent="0.2">
      <c r="A301" t="s">
        <v>189</v>
      </c>
      <c r="B301" t="s">
        <v>90</v>
      </c>
      <c r="C301" t="s">
        <v>91</v>
      </c>
      <c r="D301" s="3">
        <v>44259</v>
      </c>
      <c r="E301" s="1">
        <v>44259.473287037035</v>
      </c>
      <c r="F301" t="s">
        <v>17</v>
      </c>
      <c r="G301" t="s">
        <v>24</v>
      </c>
      <c r="H301" s="1">
        <v>44259.354166666664</v>
      </c>
      <c r="I301" s="1">
        <v>44259.479166666664</v>
      </c>
      <c r="J301" s="4">
        <f t="shared" si="4"/>
        <v>0.125</v>
      </c>
      <c r="K301" t="s">
        <v>191</v>
      </c>
      <c r="M301">
        <v>0</v>
      </c>
      <c r="N301" s="6">
        <v>0</v>
      </c>
      <c r="Q301" s="2" t="s">
        <v>19</v>
      </c>
    </row>
    <row r="302" spans="1:17" ht="68" x14ac:dyDescent="0.2">
      <c r="A302" t="s">
        <v>189</v>
      </c>
      <c r="B302" t="s">
        <v>90</v>
      </c>
      <c r="C302" t="s">
        <v>91</v>
      </c>
      <c r="D302" s="3">
        <v>44259</v>
      </c>
      <c r="E302" s="1">
        <v>44259.570717592593</v>
      </c>
      <c r="F302" t="s">
        <v>17</v>
      </c>
      <c r="G302" t="s">
        <v>25</v>
      </c>
      <c r="H302" s="1">
        <v>44259.5625</v>
      </c>
      <c r="I302" s="1">
        <v>44259.625</v>
      </c>
      <c r="J302" s="4">
        <f t="shared" si="4"/>
        <v>6.25E-2</v>
      </c>
      <c r="K302" t="s">
        <v>192</v>
      </c>
      <c r="M302">
        <v>0</v>
      </c>
      <c r="N302" s="6">
        <v>2.8935185185185189E-4</v>
      </c>
      <c r="Q302" s="2" t="s">
        <v>19</v>
      </c>
    </row>
    <row r="303" spans="1:17" ht="68" x14ac:dyDescent="0.2">
      <c r="A303" t="s">
        <v>189</v>
      </c>
      <c r="B303" t="s">
        <v>90</v>
      </c>
      <c r="C303" t="s">
        <v>91</v>
      </c>
      <c r="D303" s="3">
        <v>44259</v>
      </c>
      <c r="E303" s="1">
        <v>44259.572581018518</v>
      </c>
      <c r="F303" t="s">
        <v>17</v>
      </c>
      <c r="G303" t="s">
        <v>25</v>
      </c>
      <c r="H303" s="1">
        <v>44259.5625</v>
      </c>
      <c r="I303" s="1">
        <v>44259.625</v>
      </c>
      <c r="J303" s="4">
        <f t="shared" si="4"/>
        <v>6.25E-2</v>
      </c>
      <c r="K303" t="s">
        <v>192</v>
      </c>
      <c r="M303">
        <v>0</v>
      </c>
      <c r="N303" s="6">
        <v>8.6805555555555551E-4</v>
      </c>
      <c r="Q303" s="2" t="s">
        <v>19</v>
      </c>
    </row>
    <row r="304" spans="1:17" ht="68" x14ac:dyDescent="0.2">
      <c r="A304" t="s">
        <v>189</v>
      </c>
      <c r="B304" t="s">
        <v>90</v>
      </c>
      <c r="C304" t="s">
        <v>91</v>
      </c>
      <c r="D304" s="3">
        <v>44259</v>
      </c>
      <c r="E304" s="1">
        <v>44259.574293981481</v>
      </c>
      <c r="F304" t="s">
        <v>17</v>
      </c>
      <c r="G304" t="s">
        <v>25</v>
      </c>
      <c r="H304" s="1">
        <v>44259.5625</v>
      </c>
      <c r="I304" s="1">
        <v>44259.625</v>
      </c>
      <c r="J304" s="4">
        <f t="shared" si="4"/>
        <v>6.25E-2</v>
      </c>
      <c r="K304" t="s">
        <v>192</v>
      </c>
      <c r="M304">
        <v>0</v>
      </c>
      <c r="N304" s="6">
        <v>1.6087962962962963E-3</v>
      </c>
      <c r="Q304" s="2" t="s">
        <v>19</v>
      </c>
    </row>
    <row r="305" spans="1:17" ht="68" x14ac:dyDescent="0.2">
      <c r="A305" t="s">
        <v>189</v>
      </c>
      <c r="B305" t="s">
        <v>90</v>
      </c>
      <c r="C305" t="s">
        <v>91</v>
      </c>
      <c r="D305" s="3">
        <v>44259</v>
      </c>
      <c r="E305" s="1">
        <v>44259.576145833336</v>
      </c>
      <c r="F305" t="s">
        <v>17</v>
      </c>
      <c r="G305" t="s">
        <v>25</v>
      </c>
      <c r="H305" s="1">
        <v>44259.5625</v>
      </c>
      <c r="I305" s="1">
        <v>44259.625</v>
      </c>
      <c r="J305" s="4">
        <f t="shared" si="4"/>
        <v>6.25E-2</v>
      </c>
      <c r="K305" t="s">
        <v>192</v>
      </c>
      <c r="M305">
        <v>0</v>
      </c>
      <c r="N305" s="6">
        <v>1.0648148148148147E-3</v>
      </c>
      <c r="Q305" s="2" t="s">
        <v>19</v>
      </c>
    </row>
    <row r="306" spans="1:17" ht="68" x14ac:dyDescent="0.2">
      <c r="A306" t="s">
        <v>189</v>
      </c>
      <c r="B306" t="s">
        <v>90</v>
      </c>
      <c r="C306" t="s">
        <v>91</v>
      </c>
      <c r="D306" s="3">
        <v>44259</v>
      </c>
      <c r="E306" s="1">
        <v>44259.576863425929</v>
      </c>
      <c r="F306" t="s">
        <v>17</v>
      </c>
      <c r="G306" t="s">
        <v>25</v>
      </c>
      <c r="H306" s="1">
        <v>44259.5625</v>
      </c>
      <c r="I306" s="1">
        <v>44259.625</v>
      </c>
      <c r="J306" s="4">
        <f t="shared" si="4"/>
        <v>6.25E-2</v>
      </c>
      <c r="K306" t="s">
        <v>192</v>
      </c>
      <c r="M306">
        <v>0</v>
      </c>
      <c r="N306" s="6">
        <v>4.3981481481481481E-4</v>
      </c>
      <c r="Q306" s="2" t="s">
        <v>19</v>
      </c>
    </row>
    <row r="307" spans="1:17" ht="68" x14ac:dyDescent="0.2">
      <c r="A307" t="s">
        <v>189</v>
      </c>
      <c r="B307" t="s">
        <v>90</v>
      </c>
      <c r="C307" t="s">
        <v>91</v>
      </c>
      <c r="D307" s="3">
        <v>44259</v>
      </c>
      <c r="E307" s="1">
        <v>44259.586562500001</v>
      </c>
      <c r="F307" t="s">
        <v>17</v>
      </c>
      <c r="G307" t="s">
        <v>25</v>
      </c>
      <c r="H307" s="1">
        <v>44259.5625</v>
      </c>
      <c r="I307" s="1">
        <v>44259.625</v>
      </c>
      <c r="J307" s="4">
        <f t="shared" si="4"/>
        <v>6.25E-2</v>
      </c>
      <c r="K307" t="s">
        <v>192</v>
      </c>
      <c r="M307">
        <v>0</v>
      </c>
      <c r="N307" s="6">
        <v>7.4652777777777781E-3</v>
      </c>
      <c r="Q307" s="2" t="s">
        <v>19</v>
      </c>
    </row>
    <row r="308" spans="1:17" ht="68" x14ac:dyDescent="0.2">
      <c r="A308" t="s">
        <v>189</v>
      </c>
      <c r="B308" t="s">
        <v>90</v>
      </c>
      <c r="C308" t="s">
        <v>91</v>
      </c>
      <c r="D308" s="3">
        <v>44259</v>
      </c>
      <c r="E308" s="1">
        <v>44259.591909722221</v>
      </c>
      <c r="F308" t="s">
        <v>17</v>
      </c>
      <c r="G308" t="s">
        <v>25</v>
      </c>
      <c r="H308" s="1">
        <v>44259.5625</v>
      </c>
      <c r="I308" s="1">
        <v>44259.625</v>
      </c>
      <c r="J308" s="4">
        <f t="shared" si="4"/>
        <v>6.25E-2</v>
      </c>
      <c r="K308" t="s">
        <v>192</v>
      </c>
      <c r="M308">
        <v>0</v>
      </c>
      <c r="N308" s="6">
        <v>1.8171296296296297E-3</v>
      </c>
      <c r="Q308" s="2" t="s">
        <v>19</v>
      </c>
    </row>
    <row r="309" spans="1:17" ht="68" x14ac:dyDescent="0.2">
      <c r="A309" t="s">
        <v>189</v>
      </c>
      <c r="B309" t="s">
        <v>90</v>
      </c>
      <c r="C309" t="s">
        <v>91</v>
      </c>
      <c r="D309" s="3">
        <v>44259</v>
      </c>
      <c r="E309" s="1">
        <v>44259.598460648151</v>
      </c>
      <c r="F309" t="s">
        <v>17</v>
      </c>
      <c r="G309" t="s">
        <v>25</v>
      </c>
      <c r="H309" s="1">
        <v>44259.5625</v>
      </c>
      <c r="I309" s="1">
        <v>44259.625</v>
      </c>
      <c r="J309" s="4">
        <f t="shared" si="4"/>
        <v>6.25E-2</v>
      </c>
      <c r="K309" t="s">
        <v>192</v>
      </c>
      <c r="M309">
        <v>0</v>
      </c>
      <c r="N309" s="6">
        <v>4.2824074074074075E-4</v>
      </c>
      <c r="Q309" s="2" t="s">
        <v>19</v>
      </c>
    </row>
    <row r="310" spans="1:17" ht="68" x14ac:dyDescent="0.2">
      <c r="A310" t="s">
        <v>189</v>
      </c>
      <c r="B310" t="s">
        <v>90</v>
      </c>
      <c r="C310" t="s">
        <v>91</v>
      </c>
      <c r="D310" s="3">
        <v>44259</v>
      </c>
      <c r="E310" s="1">
        <v>44259.599953703706</v>
      </c>
      <c r="F310" t="s">
        <v>17</v>
      </c>
      <c r="G310" t="s">
        <v>25</v>
      </c>
      <c r="H310" s="1">
        <v>44259.5625</v>
      </c>
      <c r="I310" s="1">
        <v>44259.625</v>
      </c>
      <c r="J310" s="4">
        <f t="shared" si="4"/>
        <v>6.25E-2</v>
      </c>
      <c r="K310" t="s">
        <v>192</v>
      </c>
      <c r="M310">
        <v>0</v>
      </c>
      <c r="N310" s="6">
        <v>9.0277777777777784E-4</v>
      </c>
      <c r="Q310" s="2" t="s">
        <v>19</v>
      </c>
    </row>
    <row r="311" spans="1:17" ht="68" x14ac:dyDescent="0.2">
      <c r="A311" t="s">
        <v>189</v>
      </c>
      <c r="B311" t="s">
        <v>90</v>
      </c>
      <c r="C311" t="s">
        <v>91</v>
      </c>
      <c r="D311" s="3">
        <v>44259</v>
      </c>
      <c r="E311" s="1">
        <v>44259.610486111109</v>
      </c>
      <c r="F311" t="s">
        <v>17</v>
      </c>
      <c r="G311" t="s">
        <v>25</v>
      </c>
      <c r="H311" s="1">
        <v>44259.5625</v>
      </c>
      <c r="I311" s="1">
        <v>44259.625</v>
      </c>
      <c r="J311" s="4">
        <f t="shared" si="4"/>
        <v>6.25E-2</v>
      </c>
      <c r="K311" t="s">
        <v>192</v>
      </c>
      <c r="M311">
        <v>0</v>
      </c>
      <c r="N311" s="6">
        <v>9.5138888888888894E-3</v>
      </c>
      <c r="Q311" s="2" t="s">
        <v>19</v>
      </c>
    </row>
    <row r="312" spans="1:17" ht="68" x14ac:dyDescent="0.2">
      <c r="A312" t="s">
        <v>189</v>
      </c>
      <c r="B312" t="s">
        <v>90</v>
      </c>
      <c r="C312" t="s">
        <v>91</v>
      </c>
      <c r="D312" s="3">
        <v>44260</v>
      </c>
      <c r="E312" s="1">
        <v>44260.439317129632</v>
      </c>
      <c r="F312" t="s">
        <v>17</v>
      </c>
      <c r="G312" t="s">
        <v>31</v>
      </c>
      <c r="H312" s="1">
        <v>44260.354166666664</v>
      </c>
      <c r="I312" s="1">
        <v>44260.479166666664</v>
      </c>
      <c r="J312" s="4">
        <f t="shared" si="4"/>
        <v>0.125</v>
      </c>
      <c r="K312" t="s">
        <v>190</v>
      </c>
      <c r="M312">
        <v>0</v>
      </c>
      <c r="N312" s="6">
        <v>3.1851851851851853E-2</v>
      </c>
      <c r="Q312" s="2" t="s">
        <v>19</v>
      </c>
    </row>
    <row r="313" spans="1:17" ht="68" x14ac:dyDescent="0.2">
      <c r="A313" t="s">
        <v>189</v>
      </c>
      <c r="B313" t="s">
        <v>90</v>
      </c>
      <c r="C313" t="s">
        <v>91</v>
      </c>
      <c r="D313" s="3">
        <v>44260</v>
      </c>
      <c r="E313" s="1">
        <v>44260.463240740741</v>
      </c>
      <c r="F313" t="s">
        <v>17</v>
      </c>
      <c r="G313" t="s">
        <v>31</v>
      </c>
      <c r="H313" s="1">
        <v>44260.354166666664</v>
      </c>
      <c r="I313" s="1">
        <v>44260.479166666664</v>
      </c>
      <c r="J313" s="4">
        <f t="shared" si="4"/>
        <v>0.125</v>
      </c>
      <c r="K313" t="s">
        <v>190</v>
      </c>
      <c r="M313">
        <v>0</v>
      </c>
      <c r="N313" s="6">
        <v>1.4189814814814815E-2</v>
      </c>
      <c r="Q313" s="2" t="s">
        <v>19</v>
      </c>
    </row>
    <row r="314" spans="1:17" ht="68" x14ac:dyDescent="0.2">
      <c r="A314" t="s">
        <v>189</v>
      </c>
      <c r="B314" t="s">
        <v>90</v>
      </c>
      <c r="C314" t="s">
        <v>91</v>
      </c>
      <c r="D314" s="3">
        <v>44260</v>
      </c>
      <c r="E314" s="1">
        <v>44260.463240740741</v>
      </c>
      <c r="F314" t="s">
        <v>17</v>
      </c>
      <c r="G314" t="s">
        <v>31</v>
      </c>
      <c r="H314" s="1">
        <v>44260.354166666664</v>
      </c>
      <c r="I314" s="1">
        <v>44260.479166666664</v>
      </c>
      <c r="J314" s="4">
        <f t="shared" si="4"/>
        <v>0.125</v>
      </c>
      <c r="K314" t="s">
        <v>190</v>
      </c>
      <c r="M314">
        <v>0</v>
      </c>
      <c r="N314" s="6">
        <v>4.108796296296297E-3</v>
      </c>
      <c r="Q314" s="2" t="s">
        <v>19</v>
      </c>
    </row>
    <row r="315" spans="1:17" ht="68" x14ac:dyDescent="0.2">
      <c r="A315" t="s">
        <v>189</v>
      </c>
      <c r="B315" t="s">
        <v>90</v>
      </c>
      <c r="C315" t="s">
        <v>91</v>
      </c>
      <c r="D315" s="3">
        <v>44263</v>
      </c>
      <c r="E315" s="1">
        <v>44263.472349537034</v>
      </c>
      <c r="F315" t="s">
        <v>17</v>
      </c>
      <c r="G315" t="s">
        <v>26</v>
      </c>
      <c r="H315" s="1">
        <v>44263.354166666664</v>
      </c>
      <c r="I315" s="1">
        <v>44263.479166666664</v>
      </c>
      <c r="J315" s="4">
        <f t="shared" si="4"/>
        <v>0.125</v>
      </c>
      <c r="K315" t="s">
        <v>190</v>
      </c>
      <c r="M315">
        <v>0</v>
      </c>
      <c r="N315" s="6">
        <v>5.37037037037037E-3</v>
      </c>
      <c r="Q315" s="2" t="s">
        <v>19</v>
      </c>
    </row>
    <row r="316" spans="1:17" ht="102" x14ac:dyDescent="0.2">
      <c r="A316" t="s">
        <v>189</v>
      </c>
      <c r="B316" t="s">
        <v>90</v>
      </c>
      <c r="C316" t="s">
        <v>91</v>
      </c>
      <c r="D316" s="3">
        <v>44264</v>
      </c>
      <c r="E316" s="1">
        <v>44264.407673611109</v>
      </c>
      <c r="F316" t="s">
        <v>17</v>
      </c>
      <c r="G316" t="s">
        <v>24</v>
      </c>
      <c r="H316" s="1">
        <v>44264.354166666664</v>
      </c>
      <c r="I316" s="1">
        <v>44264.479166666664</v>
      </c>
      <c r="J316" s="4">
        <f t="shared" si="4"/>
        <v>0.125</v>
      </c>
      <c r="K316" t="s">
        <v>191</v>
      </c>
      <c r="M316">
        <v>0</v>
      </c>
      <c r="N316" s="6">
        <v>1.5740740740740741E-3</v>
      </c>
      <c r="O316" t="s">
        <v>93</v>
      </c>
      <c r="P316" t="s">
        <v>89</v>
      </c>
      <c r="Q316" s="2" t="s">
        <v>95</v>
      </c>
    </row>
    <row r="317" spans="1:17" ht="68" x14ac:dyDescent="0.2">
      <c r="A317" t="s">
        <v>189</v>
      </c>
      <c r="B317" t="s">
        <v>90</v>
      </c>
      <c r="C317" t="s">
        <v>91</v>
      </c>
      <c r="D317" s="3">
        <v>44264</v>
      </c>
      <c r="E317" s="1">
        <v>44264.409479166665</v>
      </c>
      <c r="F317" t="s">
        <v>17</v>
      </c>
      <c r="G317" t="s">
        <v>24</v>
      </c>
      <c r="H317" s="1">
        <v>44264.354166666664</v>
      </c>
      <c r="I317" s="1">
        <v>44264.479166666664</v>
      </c>
      <c r="J317" s="4">
        <f t="shared" si="4"/>
        <v>0.125</v>
      </c>
      <c r="K317" t="s">
        <v>191</v>
      </c>
      <c r="M317">
        <v>0</v>
      </c>
      <c r="N317" s="6">
        <v>6.8287037037037025E-4</v>
      </c>
      <c r="Q317" s="2" t="s">
        <v>19</v>
      </c>
    </row>
    <row r="318" spans="1:17" ht="68" x14ac:dyDescent="0.2">
      <c r="A318" t="s">
        <v>189</v>
      </c>
      <c r="B318" t="s">
        <v>90</v>
      </c>
      <c r="C318" t="s">
        <v>91</v>
      </c>
      <c r="D318" s="3">
        <v>44264</v>
      </c>
      <c r="E318" s="1">
        <v>44264.413611111115</v>
      </c>
      <c r="F318" t="s">
        <v>17</v>
      </c>
      <c r="G318" t="s">
        <v>24</v>
      </c>
      <c r="H318" s="1">
        <v>44264.354166666664</v>
      </c>
      <c r="I318" s="1">
        <v>44264.479166666664</v>
      </c>
      <c r="J318" s="4">
        <f t="shared" si="4"/>
        <v>0.125</v>
      </c>
      <c r="K318" t="s">
        <v>191</v>
      </c>
      <c r="M318">
        <v>0</v>
      </c>
      <c r="N318" s="6">
        <v>1.5046296296296297E-4</v>
      </c>
      <c r="Q318" s="2" t="s">
        <v>19</v>
      </c>
    </row>
    <row r="319" spans="1:17" ht="68" x14ac:dyDescent="0.2">
      <c r="A319" t="s">
        <v>189</v>
      </c>
      <c r="B319" t="s">
        <v>90</v>
      </c>
      <c r="C319" t="s">
        <v>91</v>
      </c>
      <c r="D319" s="3">
        <v>44264</v>
      </c>
      <c r="E319" s="1">
        <v>44264.413958333331</v>
      </c>
      <c r="F319" t="s">
        <v>17</v>
      </c>
      <c r="G319" t="s">
        <v>24</v>
      </c>
      <c r="H319" s="1">
        <v>44264.354166666664</v>
      </c>
      <c r="I319" s="1">
        <v>44264.479166666664</v>
      </c>
      <c r="J319" s="4">
        <f t="shared" si="4"/>
        <v>0.125</v>
      </c>
      <c r="K319" t="s">
        <v>191</v>
      </c>
      <c r="M319">
        <v>0</v>
      </c>
      <c r="N319" s="6">
        <v>2.5462962962962961E-4</v>
      </c>
      <c r="Q319" s="2" t="s">
        <v>19</v>
      </c>
    </row>
    <row r="320" spans="1:17" ht="68" x14ac:dyDescent="0.2">
      <c r="A320" t="s">
        <v>189</v>
      </c>
      <c r="B320" t="s">
        <v>90</v>
      </c>
      <c r="C320" t="s">
        <v>91</v>
      </c>
      <c r="D320" s="3">
        <v>44264</v>
      </c>
      <c r="E320" s="1">
        <v>44264.667696759258</v>
      </c>
      <c r="F320" t="s">
        <v>17</v>
      </c>
      <c r="G320" t="s">
        <v>34</v>
      </c>
      <c r="H320" s="1">
        <v>44264.5625</v>
      </c>
      <c r="I320" s="1">
        <v>44264.6875</v>
      </c>
      <c r="J320" s="4">
        <f t="shared" si="4"/>
        <v>0.125</v>
      </c>
      <c r="K320" t="s">
        <v>192</v>
      </c>
      <c r="M320">
        <v>0</v>
      </c>
      <c r="N320" s="6">
        <v>3.0439814814814821E-3</v>
      </c>
      <c r="Q320" s="2" t="s">
        <v>19</v>
      </c>
    </row>
    <row r="321" spans="1:17" ht="68" x14ac:dyDescent="0.2">
      <c r="A321" t="s">
        <v>189</v>
      </c>
      <c r="B321" t="s">
        <v>90</v>
      </c>
      <c r="C321" t="s">
        <v>91</v>
      </c>
      <c r="D321" s="3">
        <v>44264</v>
      </c>
      <c r="E321" s="1">
        <v>44264.676319444443</v>
      </c>
      <c r="F321" t="s">
        <v>17</v>
      </c>
      <c r="G321" t="s">
        <v>34</v>
      </c>
      <c r="H321" s="1">
        <v>44264.5625</v>
      </c>
      <c r="I321" s="1">
        <v>44264.6875</v>
      </c>
      <c r="J321" s="4">
        <f t="shared" si="4"/>
        <v>0.125</v>
      </c>
      <c r="K321" t="s">
        <v>192</v>
      </c>
      <c r="M321">
        <v>0</v>
      </c>
      <c r="N321" s="6">
        <v>5.7870370370370378E-4</v>
      </c>
      <c r="Q321" s="2" t="s">
        <v>19</v>
      </c>
    </row>
    <row r="322" spans="1:17" ht="68" x14ac:dyDescent="0.2">
      <c r="A322" t="s">
        <v>189</v>
      </c>
      <c r="B322" t="s">
        <v>90</v>
      </c>
      <c r="C322" t="s">
        <v>91</v>
      </c>
      <c r="D322" s="3">
        <v>44265</v>
      </c>
      <c r="E322" s="1">
        <v>44265.473668981482</v>
      </c>
      <c r="F322" t="s">
        <v>17</v>
      </c>
      <c r="G322" t="s">
        <v>24</v>
      </c>
      <c r="H322" s="1">
        <v>44265.354166666664</v>
      </c>
      <c r="I322" s="1">
        <v>44265.479166666664</v>
      </c>
      <c r="J322" s="4">
        <f t="shared" si="4"/>
        <v>0.125</v>
      </c>
      <c r="K322" t="s">
        <v>190</v>
      </c>
      <c r="M322">
        <v>0</v>
      </c>
      <c r="N322" s="6">
        <v>7.037037037037037E-3</v>
      </c>
      <c r="Q322" s="2" t="s">
        <v>19</v>
      </c>
    </row>
    <row r="323" spans="1:17" ht="68" x14ac:dyDescent="0.2">
      <c r="A323" t="s">
        <v>189</v>
      </c>
      <c r="B323" t="s">
        <v>90</v>
      </c>
      <c r="C323" t="s">
        <v>91</v>
      </c>
      <c r="D323" s="3">
        <v>44266</v>
      </c>
      <c r="E323" s="1">
        <v>44266.449861111112</v>
      </c>
      <c r="F323" t="s">
        <v>17</v>
      </c>
      <c r="G323" t="s">
        <v>39</v>
      </c>
      <c r="H323" s="1">
        <v>44266.377083333333</v>
      </c>
      <c r="I323" s="1">
        <v>44266.510416666664</v>
      </c>
      <c r="J323" s="4">
        <f t="shared" ref="J323:J386" si="5">IF($I323="","",$I323-$H323)</f>
        <v>0.13333333333139308</v>
      </c>
      <c r="K323" t="s">
        <v>192</v>
      </c>
      <c r="M323">
        <v>0</v>
      </c>
      <c r="N323" s="6">
        <v>1.1574074074074073E-4</v>
      </c>
      <c r="Q323" s="2" t="s">
        <v>19</v>
      </c>
    </row>
    <row r="324" spans="1:17" ht="68" x14ac:dyDescent="0.2">
      <c r="A324" t="s">
        <v>189</v>
      </c>
      <c r="B324" t="s">
        <v>90</v>
      </c>
      <c r="C324" t="s">
        <v>91</v>
      </c>
      <c r="D324" s="3">
        <v>44266</v>
      </c>
      <c r="E324" s="1">
        <v>44266.512499999997</v>
      </c>
      <c r="F324" t="s">
        <v>17</v>
      </c>
      <c r="G324" t="s">
        <v>39</v>
      </c>
      <c r="H324" s="1">
        <v>44266.377083333333</v>
      </c>
      <c r="I324" s="1">
        <v>44266.510416666664</v>
      </c>
      <c r="J324" s="4">
        <f t="shared" si="5"/>
        <v>0.13333333333139308</v>
      </c>
      <c r="K324" t="s">
        <v>192</v>
      </c>
      <c r="M324">
        <v>0</v>
      </c>
      <c r="N324" s="6">
        <v>1.8819444444444448E-2</v>
      </c>
      <c r="Q324" s="2" t="s">
        <v>19</v>
      </c>
    </row>
    <row r="325" spans="1:17" ht="68" x14ac:dyDescent="0.2">
      <c r="A325" t="s">
        <v>189</v>
      </c>
      <c r="B325" t="s">
        <v>90</v>
      </c>
      <c r="C325" t="s">
        <v>91</v>
      </c>
      <c r="D325" s="3">
        <v>44266</v>
      </c>
      <c r="E325" s="1">
        <v>44266.538668981484</v>
      </c>
      <c r="F325" t="s">
        <v>17</v>
      </c>
      <c r="G325" t="s">
        <v>35</v>
      </c>
      <c r="H325" s="1">
        <v>44266.53125</v>
      </c>
      <c r="I325" s="1">
        <v>44266.666666666664</v>
      </c>
      <c r="J325" s="4">
        <f t="shared" si="5"/>
        <v>0.13541666666424135</v>
      </c>
      <c r="K325" t="s">
        <v>192</v>
      </c>
      <c r="M325">
        <v>0</v>
      </c>
      <c r="N325" s="6">
        <v>1.7708333333333332E-3</v>
      </c>
      <c r="Q325" s="2" t="s">
        <v>19</v>
      </c>
    </row>
    <row r="326" spans="1:17" ht="102" x14ac:dyDescent="0.2">
      <c r="A326" t="s">
        <v>189</v>
      </c>
      <c r="B326" t="s">
        <v>90</v>
      </c>
      <c r="C326" t="s">
        <v>91</v>
      </c>
      <c r="D326" s="3">
        <v>44266</v>
      </c>
      <c r="E326" s="1">
        <v>44266.668067129627</v>
      </c>
      <c r="F326" t="s">
        <v>17</v>
      </c>
      <c r="G326" t="s">
        <v>35</v>
      </c>
      <c r="H326" s="1">
        <v>44266.53125</v>
      </c>
      <c r="I326" s="1">
        <v>44266.666666666664</v>
      </c>
      <c r="J326" s="4">
        <f t="shared" si="5"/>
        <v>0.13541666666424135</v>
      </c>
      <c r="K326" t="s">
        <v>192</v>
      </c>
      <c r="M326">
        <v>0</v>
      </c>
      <c r="N326" s="6">
        <v>1.5625E-2</v>
      </c>
      <c r="Q326" s="2" t="s">
        <v>96</v>
      </c>
    </row>
    <row r="327" spans="1:17" ht="68" x14ac:dyDescent="0.2">
      <c r="A327" t="s">
        <v>189</v>
      </c>
      <c r="B327" t="s">
        <v>90</v>
      </c>
      <c r="C327" t="s">
        <v>91</v>
      </c>
      <c r="D327" s="3">
        <v>44270</v>
      </c>
      <c r="E327" s="1">
        <v>44270.47215277778</v>
      </c>
      <c r="F327" t="s">
        <v>17</v>
      </c>
      <c r="G327" t="s">
        <v>24</v>
      </c>
      <c r="H327" s="1">
        <v>44270.354166666664</v>
      </c>
      <c r="I327" s="1">
        <v>44270.479166666664</v>
      </c>
      <c r="J327" s="4">
        <f t="shared" si="5"/>
        <v>0.125</v>
      </c>
      <c r="K327" t="s">
        <v>190</v>
      </c>
      <c r="M327">
        <v>0</v>
      </c>
      <c r="N327" s="6">
        <v>1.0324074074074074E-2</v>
      </c>
      <c r="Q327" s="2" t="s">
        <v>19</v>
      </c>
    </row>
    <row r="328" spans="1:17" ht="68" x14ac:dyDescent="0.2">
      <c r="A328" t="s">
        <v>189</v>
      </c>
      <c r="B328" t="s">
        <v>90</v>
      </c>
      <c r="C328" t="s">
        <v>91</v>
      </c>
      <c r="D328" s="3">
        <v>44271</v>
      </c>
      <c r="E328" s="1">
        <v>44271.398912037039</v>
      </c>
      <c r="F328" t="s">
        <v>17</v>
      </c>
      <c r="G328" t="s">
        <v>36</v>
      </c>
      <c r="H328" s="1">
        <v>44271.375</v>
      </c>
      <c r="I328" s="1">
        <v>44271.489583333336</v>
      </c>
      <c r="J328" s="4">
        <f t="shared" si="5"/>
        <v>0.11458333333575865</v>
      </c>
      <c r="K328" t="s">
        <v>192</v>
      </c>
      <c r="M328">
        <v>0</v>
      </c>
      <c r="N328" s="6">
        <v>2.7314814814814819E-3</v>
      </c>
      <c r="Q328" s="2" t="s">
        <v>19</v>
      </c>
    </row>
    <row r="329" spans="1:17" ht="68" x14ac:dyDescent="0.2">
      <c r="A329" t="s">
        <v>189</v>
      </c>
      <c r="B329" t="s">
        <v>90</v>
      </c>
      <c r="C329" t="s">
        <v>91</v>
      </c>
      <c r="D329" s="3">
        <v>44271</v>
      </c>
      <c r="E329" s="1">
        <v>44271.40216435185</v>
      </c>
      <c r="F329" t="s">
        <v>17</v>
      </c>
      <c r="G329" t="s">
        <v>36</v>
      </c>
      <c r="H329" s="1">
        <v>44271.375</v>
      </c>
      <c r="I329" s="1">
        <v>44271.489583333336</v>
      </c>
      <c r="J329" s="4">
        <f t="shared" si="5"/>
        <v>0.11458333333575865</v>
      </c>
      <c r="K329" t="s">
        <v>192</v>
      </c>
      <c r="M329">
        <v>0</v>
      </c>
      <c r="N329" s="6">
        <v>3.3564814814814812E-4</v>
      </c>
      <c r="Q329" s="2" t="s">
        <v>19</v>
      </c>
    </row>
    <row r="330" spans="1:17" ht="68" x14ac:dyDescent="0.2">
      <c r="A330" t="s">
        <v>189</v>
      </c>
      <c r="B330" t="s">
        <v>90</v>
      </c>
      <c r="C330" t="s">
        <v>91</v>
      </c>
      <c r="D330" s="3">
        <v>44271</v>
      </c>
      <c r="E330" s="1">
        <v>44271.407118055555</v>
      </c>
      <c r="F330" t="s">
        <v>17</v>
      </c>
      <c r="G330" t="s">
        <v>36</v>
      </c>
      <c r="H330" s="1">
        <v>44271.375</v>
      </c>
      <c r="I330" s="1">
        <v>44271.489583333336</v>
      </c>
      <c r="J330" s="4">
        <f t="shared" si="5"/>
        <v>0.11458333333575865</v>
      </c>
      <c r="K330" t="s">
        <v>192</v>
      </c>
      <c r="M330">
        <v>0</v>
      </c>
      <c r="N330" s="6">
        <v>8.3333333333333339E-4</v>
      </c>
      <c r="Q330" s="2" t="s">
        <v>19</v>
      </c>
    </row>
    <row r="331" spans="1:17" ht="68" x14ac:dyDescent="0.2">
      <c r="A331" t="s">
        <v>189</v>
      </c>
      <c r="B331" t="s">
        <v>90</v>
      </c>
      <c r="C331" t="s">
        <v>91</v>
      </c>
      <c r="D331" s="3">
        <v>44271</v>
      </c>
      <c r="E331" s="1">
        <v>44271.421909722223</v>
      </c>
      <c r="F331" t="s">
        <v>17</v>
      </c>
      <c r="G331" t="s">
        <v>36</v>
      </c>
      <c r="H331" s="1">
        <v>44271.375</v>
      </c>
      <c r="I331" s="1">
        <v>44271.489583333336</v>
      </c>
      <c r="J331" s="4">
        <f t="shared" si="5"/>
        <v>0.11458333333575865</v>
      </c>
      <c r="K331" t="s">
        <v>192</v>
      </c>
      <c r="M331">
        <v>0</v>
      </c>
      <c r="N331" s="6">
        <v>4.0277777777777777E-3</v>
      </c>
      <c r="Q331" s="2" t="s">
        <v>19</v>
      </c>
    </row>
    <row r="332" spans="1:17" ht="68" x14ac:dyDescent="0.2">
      <c r="A332" t="s">
        <v>189</v>
      </c>
      <c r="B332" t="s">
        <v>90</v>
      </c>
      <c r="C332" t="s">
        <v>91</v>
      </c>
      <c r="D332" s="3">
        <v>44271</v>
      </c>
      <c r="E332" s="1">
        <v>44271.433263888888</v>
      </c>
      <c r="F332" t="s">
        <v>17</v>
      </c>
      <c r="G332" t="s">
        <v>36</v>
      </c>
      <c r="H332" s="1">
        <v>44271.375</v>
      </c>
      <c r="I332" s="1">
        <v>44271.489583333336</v>
      </c>
      <c r="J332" s="4">
        <f t="shared" si="5"/>
        <v>0.11458333333575865</v>
      </c>
      <c r="K332" t="s">
        <v>192</v>
      </c>
      <c r="M332">
        <v>0</v>
      </c>
      <c r="N332" s="6">
        <v>2.2800925925925927E-3</v>
      </c>
      <c r="Q332" s="2" t="s">
        <v>19</v>
      </c>
    </row>
    <row r="333" spans="1:17" ht="68" x14ac:dyDescent="0.2">
      <c r="A333" t="s">
        <v>189</v>
      </c>
      <c r="B333" t="s">
        <v>90</v>
      </c>
      <c r="C333" t="s">
        <v>91</v>
      </c>
      <c r="D333" s="3">
        <v>44271</v>
      </c>
      <c r="E333" s="1">
        <v>44271.437662037039</v>
      </c>
      <c r="F333" t="s">
        <v>17</v>
      </c>
      <c r="G333" t="s">
        <v>36</v>
      </c>
      <c r="H333" s="1">
        <v>44271.375</v>
      </c>
      <c r="I333" s="1">
        <v>44271.489583333336</v>
      </c>
      <c r="J333" s="4">
        <f t="shared" si="5"/>
        <v>0.11458333333575865</v>
      </c>
      <c r="K333" t="s">
        <v>192</v>
      </c>
      <c r="M333">
        <v>0</v>
      </c>
      <c r="N333" s="6">
        <v>4.6296296296296293E-4</v>
      </c>
      <c r="Q333" s="2" t="s">
        <v>19</v>
      </c>
    </row>
    <row r="334" spans="1:17" ht="68" x14ac:dyDescent="0.2">
      <c r="A334" t="s">
        <v>189</v>
      </c>
      <c r="B334" t="s">
        <v>90</v>
      </c>
      <c r="C334" t="s">
        <v>91</v>
      </c>
      <c r="D334" s="3">
        <v>44271</v>
      </c>
      <c r="E334" s="1">
        <v>44271.461087962962</v>
      </c>
      <c r="F334" t="s">
        <v>17</v>
      </c>
      <c r="G334" t="s">
        <v>36</v>
      </c>
      <c r="H334" s="1">
        <v>44271.375</v>
      </c>
      <c r="I334" s="1">
        <v>44271.489583333336</v>
      </c>
      <c r="J334" s="4">
        <f t="shared" si="5"/>
        <v>0.11458333333575865</v>
      </c>
      <c r="K334" t="s">
        <v>192</v>
      </c>
      <c r="M334">
        <v>0</v>
      </c>
      <c r="N334" s="6">
        <v>1.1805555555555556E-3</v>
      </c>
      <c r="Q334" s="2" t="s">
        <v>19</v>
      </c>
    </row>
    <row r="335" spans="1:17" ht="68" x14ac:dyDescent="0.2">
      <c r="A335" t="s">
        <v>189</v>
      </c>
      <c r="B335" t="s">
        <v>90</v>
      </c>
      <c r="C335" t="s">
        <v>91</v>
      </c>
      <c r="D335" s="3">
        <v>44271</v>
      </c>
      <c r="E335" s="1">
        <v>44271.467187499999</v>
      </c>
      <c r="F335" t="s">
        <v>17</v>
      </c>
      <c r="G335" t="s">
        <v>36</v>
      </c>
      <c r="H335" s="1">
        <v>44271.375</v>
      </c>
      <c r="I335" s="1">
        <v>44271.489583333336</v>
      </c>
      <c r="J335" s="4">
        <f t="shared" si="5"/>
        <v>0.11458333333575865</v>
      </c>
      <c r="K335" t="s">
        <v>192</v>
      </c>
      <c r="M335">
        <v>0</v>
      </c>
      <c r="N335" s="6">
        <v>5.0578703703703706E-3</v>
      </c>
      <c r="Q335" s="2" t="s">
        <v>19</v>
      </c>
    </row>
    <row r="336" spans="1:17" ht="68" x14ac:dyDescent="0.2">
      <c r="A336" t="s">
        <v>189</v>
      </c>
      <c r="B336" t="s">
        <v>90</v>
      </c>
      <c r="C336" t="s">
        <v>91</v>
      </c>
      <c r="D336" s="3">
        <v>44271</v>
      </c>
      <c r="E336" s="1">
        <v>44271.536215277774</v>
      </c>
      <c r="F336" t="s">
        <v>17</v>
      </c>
      <c r="G336" t="s">
        <v>37</v>
      </c>
      <c r="H336" s="1">
        <v>44271.53125</v>
      </c>
      <c r="I336" s="1">
        <v>44271.635416666664</v>
      </c>
      <c r="J336" s="4">
        <f t="shared" si="5"/>
        <v>0.10416666666424135</v>
      </c>
      <c r="K336" t="s">
        <v>192</v>
      </c>
      <c r="M336">
        <v>0</v>
      </c>
      <c r="N336" s="6">
        <v>2.3726851851851851E-3</v>
      </c>
      <c r="Q336" s="2" t="s">
        <v>19</v>
      </c>
    </row>
    <row r="337" spans="1:17" ht="68" x14ac:dyDescent="0.2">
      <c r="A337" t="s">
        <v>189</v>
      </c>
      <c r="B337" t="s">
        <v>90</v>
      </c>
      <c r="C337" t="s">
        <v>91</v>
      </c>
      <c r="D337" s="3">
        <v>44271</v>
      </c>
      <c r="E337" s="1">
        <v>44271.551122685189</v>
      </c>
      <c r="F337" t="s">
        <v>17</v>
      </c>
      <c r="G337" t="s">
        <v>37</v>
      </c>
      <c r="H337" s="1">
        <v>44271.53125</v>
      </c>
      <c r="I337" s="1">
        <v>44271.635416666664</v>
      </c>
      <c r="J337" s="4">
        <f t="shared" si="5"/>
        <v>0.10416666666424135</v>
      </c>
      <c r="K337" t="s">
        <v>192</v>
      </c>
      <c r="M337">
        <v>0</v>
      </c>
      <c r="N337" s="6">
        <v>4.1435185185185186E-3</v>
      </c>
      <c r="Q337" s="2" t="s">
        <v>19</v>
      </c>
    </row>
    <row r="338" spans="1:17" ht="68" x14ac:dyDescent="0.2">
      <c r="A338" t="s">
        <v>189</v>
      </c>
      <c r="B338" t="s">
        <v>90</v>
      </c>
      <c r="C338" t="s">
        <v>91</v>
      </c>
      <c r="D338" s="3">
        <v>44271</v>
      </c>
      <c r="E338" s="1">
        <v>44271.552719907406</v>
      </c>
      <c r="F338" t="s">
        <v>17</v>
      </c>
      <c r="G338" t="s">
        <v>37</v>
      </c>
      <c r="H338" s="1">
        <v>44271.53125</v>
      </c>
      <c r="I338" s="1">
        <v>44271.635416666664</v>
      </c>
      <c r="J338" s="4">
        <f t="shared" si="5"/>
        <v>0.10416666666424135</v>
      </c>
      <c r="K338" t="s">
        <v>192</v>
      </c>
      <c r="M338">
        <v>0</v>
      </c>
      <c r="N338" s="6">
        <v>7.7546296296296304E-4</v>
      </c>
      <c r="Q338" s="2" t="s">
        <v>19</v>
      </c>
    </row>
    <row r="339" spans="1:17" ht="68" x14ac:dyDescent="0.2">
      <c r="A339" t="s">
        <v>189</v>
      </c>
      <c r="B339" t="s">
        <v>90</v>
      </c>
      <c r="C339" t="s">
        <v>91</v>
      </c>
      <c r="D339" s="3">
        <v>44271</v>
      </c>
      <c r="E339" s="1">
        <v>44271.618888888886</v>
      </c>
      <c r="F339" t="s">
        <v>17</v>
      </c>
      <c r="G339" t="s">
        <v>37</v>
      </c>
      <c r="H339" s="1">
        <v>44271.53125</v>
      </c>
      <c r="I339" s="1">
        <v>44271.635416666664</v>
      </c>
      <c r="J339" s="4">
        <f t="shared" si="5"/>
        <v>0.10416666666424135</v>
      </c>
      <c r="K339" t="s">
        <v>192</v>
      </c>
      <c r="M339">
        <v>0</v>
      </c>
      <c r="N339" s="6">
        <v>4.8842592592592592E-3</v>
      </c>
      <c r="Q339" s="2" t="s">
        <v>19</v>
      </c>
    </row>
    <row r="340" spans="1:17" ht="68" x14ac:dyDescent="0.2">
      <c r="A340" t="s">
        <v>189</v>
      </c>
      <c r="B340" t="s">
        <v>90</v>
      </c>
      <c r="C340" t="s">
        <v>91</v>
      </c>
      <c r="D340" s="3">
        <v>44271</v>
      </c>
      <c r="E340" s="1">
        <v>44271.619895833333</v>
      </c>
      <c r="F340" t="s">
        <v>17</v>
      </c>
      <c r="G340" t="s">
        <v>37</v>
      </c>
      <c r="H340" s="1">
        <v>44271.53125</v>
      </c>
      <c r="I340" s="1">
        <v>44271.635416666664</v>
      </c>
      <c r="J340" s="4">
        <f t="shared" si="5"/>
        <v>0.10416666666424135</v>
      </c>
      <c r="K340" t="s">
        <v>192</v>
      </c>
      <c r="M340">
        <v>0</v>
      </c>
      <c r="N340" s="6">
        <v>6.018518518518519E-4</v>
      </c>
      <c r="Q340" s="2" t="s">
        <v>19</v>
      </c>
    </row>
    <row r="341" spans="1:17" ht="68" x14ac:dyDescent="0.2">
      <c r="A341" t="s">
        <v>189</v>
      </c>
      <c r="B341" t="s">
        <v>90</v>
      </c>
      <c r="C341" t="s">
        <v>91</v>
      </c>
      <c r="D341" s="3">
        <v>44272</v>
      </c>
      <c r="E341" s="1">
        <v>44272.476319444446</v>
      </c>
      <c r="F341" t="s">
        <v>17</v>
      </c>
      <c r="G341" t="s">
        <v>38</v>
      </c>
      <c r="H341" s="1">
        <v>44272.354166666664</v>
      </c>
      <c r="I341" s="1">
        <v>44272.479166666664</v>
      </c>
      <c r="J341" s="4">
        <f t="shared" si="5"/>
        <v>0.125</v>
      </c>
      <c r="K341" t="s">
        <v>190</v>
      </c>
      <c r="M341">
        <v>0</v>
      </c>
      <c r="N341" s="6">
        <v>1.2256944444444444E-2</v>
      </c>
      <c r="Q341" s="2" t="s">
        <v>19</v>
      </c>
    </row>
    <row r="342" spans="1:17" ht="68" x14ac:dyDescent="0.2">
      <c r="A342" t="s">
        <v>189</v>
      </c>
      <c r="B342" t="s">
        <v>90</v>
      </c>
      <c r="C342" t="s">
        <v>91</v>
      </c>
      <c r="D342" s="3">
        <v>44273</v>
      </c>
      <c r="E342" s="1">
        <v>44273.39916666667</v>
      </c>
      <c r="F342" t="s">
        <v>17</v>
      </c>
      <c r="G342" t="s">
        <v>39</v>
      </c>
      <c r="H342" s="1">
        <v>44273.375</v>
      </c>
      <c r="I342" s="1">
        <v>44273.489583333336</v>
      </c>
      <c r="J342" s="4">
        <f t="shared" si="5"/>
        <v>0.11458333333575865</v>
      </c>
      <c r="K342" t="s">
        <v>192</v>
      </c>
      <c r="M342">
        <v>0</v>
      </c>
      <c r="N342" s="6">
        <v>5.7870370370370378E-4</v>
      </c>
      <c r="Q342" s="2" t="s">
        <v>19</v>
      </c>
    </row>
    <row r="343" spans="1:17" ht="68" x14ac:dyDescent="0.2">
      <c r="A343" t="s">
        <v>189</v>
      </c>
      <c r="B343" t="s">
        <v>90</v>
      </c>
      <c r="C343" t="s">
        <v>91</v>
      </c>
      <c r="D343" s="3">
        <v>44273</v>
      </c>
      <c r="E343" s="1">
        <v>44273.401388888888</v>
      </c>
      <c r="F343" t="s">
        <v>17</v>
      </c>
      <c r="G343" t="s">
        <v>39</v>
      </c>
      <c r="H343" s="1">
        <v>44273.375</v>
      </c>
      <c r="I343" s="1">
        <v>44273.489583333336</v>
      </c>
      <c r="J343" s="4">
        <f t="shared" si="5"/>
        <v>0.11458333333575865</v>
      </c>
      <c r="K343" t="s">
        <v>192</v>
      </c>
      <c r="M343">
        <v>0</v>
      </c>
      <c r="N343" s="6">
        <v>1.3194444444444443E-3</v>
      </c>
      <c r="Q343" s="2" t="s">
        <v>19</v>
      </c>
    </row>
    <row r="344" spans="1:17" ht="68" x14ac:dyDescent="0.2">
      <c r="A344" t="s">
        <v>189</v>
      </c>
      <c r="B344" t="s">
        <v>90</v>
      </c>
      <c r="C344" t="s">
        <v>91</v>
      </c>
      <c r="D344" s="3">
        <v>44273</v>
      </c>
      <c r="E344" s="1">
        <v>44273.410914351851</v>
      </c>
      <c r="F344" t="s">
        <v>17</v>
      </c>
      <c r="G344" t="s">
        <v>39</v>
      </c>
      <c r="H344" s="1">
        <v>44273.375</v>
      </c>
      <c r="I344" s="1">
        <v>44273.489583333336</v>
      </c>
      <c r="J344" s="4">
        <f t="shared" si="5"/>
        <v>0.11458333333575865</v>
      </c>
      <c r="K344" t="s">
        <v>192</v>
      </c>
      <c r="M344">
        <v>0</v>
      </c>
      <c r="N344" s="6">
        <v>5.9027777777777778E-4</v>
      </c>
      <c r="Q344" s="2" t="s">
        <v>19</v>
      </c>
    </row>
    <row r="345" spans="1:17" ht="68" x14ac:dyDescent="0.2">
      <c r="A345" t="s">
        <v>189</v>
      </c>
      <c r="B345" t="s">
        <v>90</v>
      </c>
      <c r="C345" t="s">
        <v>91</v>
      </c>
      <c r="D345" s="3">
        <v>44273</v>
      </c>
      <c r="E345" s="1">
        <v>44273.412314814814</v>
      </c>
      <c r="F345" t="s">
        <v>17</v>
      </c>
      <c r="G345" t="s">
        <v>39</v>
      </c>
      <c r="H345" s="1">
        <v>44273.375</v>
      </c>
      <c r="I345" s="1">
        <v>44273.489583333336</v>
      </c>
      <c r="J345" s="4">
        <f t="shared" si="5"/>
        <v>0.11458333333575865</v>
      </c>
      <c r="K345" t="s">
        <v>192</v>
      </c>
      <c r="M345">
        <v>0</v>
      </c>
      <c r="N345" s="6">
        <v>9.2592592592592585E-4</v>
      </c>
      <c r="Q345" s="2" t="s">
        <v>19</v>
      </c>
    </row>
    <row r="346" spans="1:17" ht="68" x14ac:dyDescent="0.2">
      <c r="A346" t="s">
        <v>189</v>
      </c>
      <c r="B346" t="s">
        <v>90</v>
      </c>
      <c r="C346" t="s">
        <v>91</v>
      </c>
      <c r="D346" s="3">
        <v>44273</v>
      </c>
      <c r="E346" s="1">
        <v>44273.419166666667</v>
      </c>
      <c r="F346" t="s">
        <v>17</v>
      </c>
      <c r="G346" t="s">
        <v>39</v>
      </c>
      <c r="H346" s="1">
        <v>44273.375</v>
      </c>
      <c r="I346" s="1">
        <v>44273.489583333336</v>
      </c>
      <c r="J346" s="4">
        <f t="shared" si="5"/>
        <v>0.11458333333575865</v>
      </c>
      <c r="K346" t="s">
        <v>192</v>
      </c>
      <c r="M346">
        <v>0</v>
      </c>
      <c r="N346" s="6">
        <v>5.7870370370370378E-4</v>
      </c>
      <c r="Q346" s="2" t="s">
        <v>19</v>
      </c>
    </row>
    <row r="347" spans="1:17" ht="68" x14ac:dyDescent="0.2">
      <c r="A347" t="s">
        <v>189</v>
      </c>
      <c r="B347" t="s">
        <v>90</v>
      </c>
      <c r="C347" t="s">
        <v>91</v>
      </c>
      <c r="D347" s="3">
        <v>44273</v>
      </c>
      <c r="E347" s="1">
        <v>44273.421967592592</v>
      </c>
      <c r="F347" t="s">
        <v>17</v>
      </c>
      <c r="G347" t="s">
        <v>39</v>
      </c>
      <c r="H347" s="1">
        <v>44273.375</v>
      </c>
      <c r="I347" s="1">
        <v>44273.489583333336</v>
      </c>
      <c r="J347" s="4">
        <f t="shared" si="5"/>
        <v>0.11458333333575865</v>
      </c>
      <c r="K347" t="s">
        <v>192</v>
      </c>
      <c r="M347">
        <v>0</v>
      </c>
      <c r="N347" s="6">
        <v>2.7662037037037034E-3</v>
      </c>
      <c r="Q347" s="2" t="s">
        <v>19</v>
      </c>
    </row>
    <row r="348" spans="1:17" ht="68" x14ac:dyDescent="0.2">
      <c r="A348" t="s">
        <v>189</v>
      </c>
      <c r="B348" t="s">
        <v>90</v>
      </c>
      <c r="C348" t="s">
        <v>91</v>
      </c>
      <c r="D348" s="3">
        <v>44273</v>
      </c>
      <c r="E348" s="1">
        <v>44273.433344907404</v>
      </c>
      <c r="F348" t="s">
        <v>17</v>
      </c>
      <c r="G348" t="s">
        <v>39</v>
      </c>
      <c r="H348" s="1">
        <v>44273.375</v>
      </c>
      <c r="I348" s="1">
        <v>44273.489583333336</v>
      </c>
      <c r="J348" s="4">
        <f t="shared" si="5"/>
        <v>0.11458333333575865</v>
      </c>
      <c r="K348" t="s">
        <v>192</v>
      </c>
      <c r="M348">
        <v>0</v>
      </c>
      <c r="N348" s="6">
        <v>3.4722222222222224E-4</v>
      </c>
      <c r="Q348" s="2" t="s">
        <v>19</v>
      </c>
    </row>
    <row r="349" spans="1:17" ht="68" x14ac:dyDescent="0.2">
      <c r="A349" t="s">
        <v>189</v>
      </c>
      <c r="B349" t="s">
        <v>90</v>
      </c>
      <c r="C349" t="s">
        <v>91</v>
      </c>
      <c r="D349" s="3">
        <v>44273</v>
      </c>
      <c r="E349" s="1">
        <v>44273.438877314817</v>
      </c>
      <c r="F349" t="s">
        <v>17</v>
      </c>
      <c r="G349" t="s">
        <v>39</v>
      </c>
      <c r="H349" s="1">
        <v>44273.375</v>
      </c>
      <c r="I349" s="1">
        <v>44273.489583333336</v>
      </c>
      <c r="J349" s="4">
        <f t="shared" si="5"/>
        <v>0.11458333333575865</v>
      </c>
      <c r="K349" t="s">
        <v>192</v>
      </c>
      <c r="M349">
        <v>0</v>
      </c>
      <c r="N349" s="6">
        <v>2.7777777777777779E-3</v>
      </c>
      <c r="Q349" s="2" t="s">
        <v>19</v>
      </c>
    </row>
    <row r="350" spans="1:17" ht="68" x14ac:dyDescent="0.2">
      <c r="A350" t="s">
        <v>189</v>
      </c>
      <c r="B350" t="s">
        <v>90</v>
      </c>
      <c r="C350" t="s">
        <v>91</v>
      </c>
      <c r="D350" s="3">
        <v>44273</v>
      </c>
      <c r="E350" s="1">
        <v>44273.603483796294</v>
      </c>
      <c r="F350" t="s">
        <v>17</v>
      </c>
      <c r="G350" t="s">
        <v>40</v>
      </c>
      <c r="H350" s="1">
        <v>44273.53125</v>
      </c>
      <c r="I350" s="1">
        <v>44273.666666666664</v>
      </c>
      <c r="J350" s="4">
        <f t="shared" si="5"/>
        <v>0.13541666666424135</v>
      </c>
      <c r="K350" t="s">
        <v>192</v>
      </c>
      <c r="M350">
        <v>0</v>
      </c>
      <c r="N350" s="6">
        <v>1.8981481481481481E-2</v>
      </c>
      <c r="Q350" s="2" t="s">
        <v>19</v>
      </c>
    </row>
    <row r="351" spans="1:17" ht="68" x14ac:dyDescent="0.2">
      <c r="A351" t="s">
        <v>189</v>
      </c>
      <c r="B351" t="s">
        <v>90</v>
      </c>
      <c r="C351" t="s">
        <v>91</v>
      </c>
      <c r="D351" s="3">
        <v>44273</v>
      </c>
      <c r="E351" s="1">
        <v>44273.607951388891</v>
      </c>
      <c r="F351" t="s">
        <v>17</v>
      </c>
      <c r="G351" t="s">
        <v>40</v>
      </c>
      <c r="H351" s="1">
        <v>44273.53125</v>
      </c>
      <c r="I351" s="1">
        <v>44273.666666666664</v>
      </c>
      <c r="J351" s="4">
        <f t="shared" si="5"/>
        <v>0.13541666666424135</v>
      </c>
      <c r="K351" t="s">
        <v>192</v>
      </c>
      <c r="M351">
        <v>0</v>
      </c>
      <c r="N351" s="6">
        <v>4.4444444444444444E-3</v>
      </c>
      <c r="Q351" s="2" t="s">
        <v>19</v>
      </c>
    </row>
    <row r="352" spans="1:17" ht="68" x14ac:dyDescent="0.2">
      <c r="A352" t="s">
        <v>189</v>
      </c>
      <c r="B352" t="s">
        <v>90</v>
      </c>
      <c r="C352" t="s">
        <v>91</v>
      </c>
      <c r="D352" s="3">
        <v>44273</v>
      </c>
      <c r="E352" s="1">
        <v>44273.635567129626</v>
      </c>
      <c r="F352" t="s">
        <v>17</v>
      </c>
      <c r="G352" t="s">
        <v>40</v>
      </c>
      <c r="H352" s="1">
        <v>44273.53125</v>
      </c>
      <c r="I352" s="1">
        <v>44273.666666666664</v>
      </c>
      <c r="J352" s="4">
        <f t="shared" si="5"/>
        <v>0.13541666666424135</v>
      </c>
      <c r="K352" t="s">
        <v>192</v>
      </c>
      <c r="M352">
        <v>0</v>
      </c>
      <c r="N352" s="6">
        <v>1.1342592592592591E-3</v>
      </c>
      <c r="Q352" s="2" t="s">
        <v>19</v>
      </c>
    </row>
    <row r="353" spans="1:17" ht="68" x14ac:dyDescent="0.2">
      <c r="A353" t="s">
        <v>189</v>
      </c>
      <c r="B353" t="s">
        <v>90</v>
      </c>
      <c r="C353" t="s">
        <v>91</v>
      </c>
      <c r="D353" s="3">
        <v>44279</v>
      </c>
      <c r="E353" s="1">
        <v>44279.403449074074</v>
      </c>
      <c r="F353" t="s">
        <v>17</v>
      </c>
      <c r="G353" t="s">
        <v>41</v>
      </c>
      <c r="H353" s="1">
        <v>44279.354166666664</v>
      </c>
      <c r="I353" s="1">
        <v>44279.479166666664</v>
      </c>
      <c r="J353" s="4">
        <f t="shared" si="5"/>
        <v>0.125</v>
      </c>
      <c r="K353" t="s">
        <v>190</v>
      </c>
      <c r="M353">
        <v>0</v>
      </c>
      <c r="N353" s="6">
        <v>8.0902777777777778E-3</v>
      </c>
      <c r="Q353" s="2" t="s">
        <v>19</v>
      </c>
    </row>
    <row r="354" spans="1:17" ht="68" x14ac:dyDescent="0.2">
      <c r="A354" t="s">
        <v>189</v>
      </c>
      <c r="B354" t="s">
        <v>90</v>
      </c>
      <c r="C354" t="s">
        <v>91</v>
      </c>
      <c r="D354" s="3">
        <v>44279</v>
      </c>
      <c r="E354" s="1">
        <v>44279.473761574074</v>
      </c>
      <c r="F354" t="s">
        <v>17</v>
      </c>
      <c r="G354" t="s">
        <v>41</v>
      </c>
      <c r="H354" s="1">
        <v>44279.354166666664</v>
      </c>
      <c r="I354" s="1">
        <v>44279.479166666664</v>
      </c>
      <c r="J354" s="4">
        <f t="shared" si="5"/>
        <v>0.125</v>
      </c>
      <c r="K354" t="s">
        <v>190</v>
      </c>
      <c r="M354">
        <v>0</v>
      </c>
      <c r="N354" s="6">
        <v>3.8657407407407408E-3</v>
      </c>
      <c r="Q354" s="2" t="s">
        <v>19</v>
      </c>
    </row>
    <row r="355" spans="1:17" ht="68" x14ac:dyDescent="0.2">
      <c r="A355" t="s">
        <v>189</v>
      </c>
      <c r="B355" t="s">
        <v>90</v>
      </c>
      <c r="C355" t="s">
        <v>91</v>
      </c>
      <c r="D355" s="3">
        <v>44281</v>
      </c>
      <c r="E355" s="1">
        <v>44281.389374999999</v>
      </c>
      <c r="F355" t="s">
        <v>17</v>
      </c>
      <c r="G355" t="s">
        <v>38</v>
      </c>
      <c r="H355" s="1">
        <v>44281.354166666664</v>
      </c>
      <c r="I355" s="1">
        <v>44281.479166666664</v>
      </c>
      <c r="J355" s="4">
        <f t="shared" si="5"/>
        <v>0.125</v>
      </c>
      <c r="K355" t="s">
        <v>190</v>
      </c>
      <c r="M355">
        <v>0</v>
      </c>
      <c r="N355" s="6">
        <v>1.8483796296296297E-2</v>
      </c>
      <c r="Q355" s="2" t="s">
        <v>19</v>
      </c>
    </row>
    <row r="356" spans="1:17" ht="68" x14ac:dyDescent="0.2">
      <c r="A356" t="s">
        <v>189</v>
      </c>
      <c r="B356" t="s">
        <v>90</v>
      </c>
      <c r="C356" t="s">
        <v>91</v>
      </c>
      <c r="D356" s="3">
        <v>44281</v>
      </c>
      <c r="E356" s="1">
        <v>44281.403564814813</v>
      </c>
      <c r="F356" t="s">
        <v>17</v>
      </c>
      <c r="G356" t="s">
        <v>38</v>
      </c>
      <c r="H356" s="1">
        <v>44281.354166666664</v>
      </c>
      <c r="I356" s="1">
        <v>44281.479166666664</v>
      </c>
      <c r="J356" s="4">
        <f t="shared" si="5"/>
        <v>0.125</v>
      </c>
      <c r="K356" t="s">
        <v>190</v>
      </c>
      <c r="M356">
        <v>0</v>
      </c>
      <c r="N356" s="6">
        <v>4.386574074074074E-3</v>
      </c>
      <c r="Q356" s="2" t="s">
        <v>19</v>
      </c>
    </row>
    <row r="357" spans="1:17" ht="68" x14ac:dyDescent="0.2">
      <c r="A357" t="s">
        <v>189</v>
      </c>
      <c r="B357" t="s">
        <v>90</v>
      </c>
      <c r="C357" t="s">
        <v>91</v>
      </c>
      <c r="D357" s="3">
        <v>44281</v>
      </c>
      <c r="E357" s="1">
        <v>44281.475543981483</v>
      </c>
      <c r="F357" t="s">
        <v>17</v>
      </c>
      <c r="G357" t="s">
        <v>38</v>
      </c>
      <c r="H357" s="1">
        <v>44281.354166666664</v>
      </c>
      <c r="I357" s="1">
        <v>44281.479166666664</v>
      </c>
      <c r="J357" s="4">
        <f t="shared" si="5"/>
        <v>0.125</v>
      </c>
      <c r="K357" t="s">
        <v>190</v>
      </c>
      <c r="M357">
        <v>0</v>
      </c>
      <c r="N357" s="6">
        <v>0</v>
      </c>
      <c r="Q357" s="2" t="s">
        <v>19</v>
      </c>
    </row>
    <row r="358" spans="1:17" ht="68" x14ac:dyDescent="0.2">
      <c r="A358" t="s">
        <v>189</v>
      </c>
      <c r="B358" t="s">
        <v>90</v>
      </c>
      <c r="C358" t="s">
        <v>91</v>
      </c>
      <c r="D358" s="3">
        <v>44284</v>
      </c>
      <c r="E358" s="1">
        <v>44284.472754629627</v>
      </c>
      <c r="F358" t="s">
        <v>17</v>
      </c>
      <c r="G358" t="s">
        <v>38</v>
      </c>
      <c r="H358" s="1">
        <v>44284.354166666664</v>
      </c>
      <c r="I358" s="1">
        <v>44284.479166666664</v>
      </c>
      <c r="J358" s="4">
        <f t="shared" si="5"/>
        <v>0.125</v>
      </c>
      <c r="K358" t="s">
        <v>190</v>
      </c>
      <c r="M358">
        <v>0</v>
      </c>
      <c r="N358" s="6">
        <v>8.4722222222222213E-3</v>
      </c>
      <c r="Q358" s="2" t="s">
        <v>19</v>
      </c>
    </row>
    <row r="359" spans="1:17" ht="68" x14ac:dyDescent="0.2">
      <c r="A359" t="s">
        <v>189</v>
      </c>
      <c r="B359" t="s">
        <v>90</v>
      </c>
      <c r="C359" t="s">
        <v>91</v>
      </c>
      <c r="D359" s="3">
        <v>44285</v>
      </c>
      <c r="E359" s="1">
        <v>44285.399861111109</v>
      </c>
      <c r="F359" t="s">
        <v>17</v>
      </c>
      <c r="G359" t="s">
        <v>29</v>
      </c>
      <c r="H359" s="1">
        <v>44285.375</v>
      </c>
      <c r="I359" s="1">
        <v>44285.489583333336</v>
      </c>
      <c r="J359" s="4">
        <f t="shared" si="5"/>
        <v>0.11458333333575865</v>
      </c>
      <c r="K359" t="s">
        <v>192</v>
      </c>
      <c r="M359">
        <v>0</v>
      </c>
      <c r="N359" s="6">
        <v>5.4398148148148144E-4</v>
      </c>
      <c r="Q359" s="2" t="s">
        <v>19</v>
      </c>
    </row>
    <row r="360" spans="1:17" ht="68" x14ac:dyDescent="0.2">
      <c r="A360" t="s">
        <v>189</v>
      </c>
      <c r="B360" t="s">
        <v>90</v>
      </c>
      <c r="C360" t="s">
        <v>91</v>
      </c>
      <c r="D360" s="3">
        <v>44285</v>
      </c>
      <c r="E360" s="1">
        <v>44285.402870370373</v>
      </c>
      <c r="F360" t="s">
        <v>17</v>
      </c>
      <c r="G360" t="s">
        <v>29</v>
      </c>
      <c r="H360" s="1">
        <v>44285.375</v>
      </c>
      <c r="I360" s="1">
        <v>44285.489583333336</v>
      </c>
      <c r="J360" s="4">
        <f t="shared" si="5"/>
        <v>0.11458333333575865</v>
      </c>
      <c r="K360" t="s">
        <v>192</v>
      </c>
      <c r="M360">
        <v>0</v>
      </c>
      <c r="N360" s="6">
        <v>2.4652777777777776E-3</v>
      </c>
      <c r="Q360" s="2" t="s">
        <v>19</v>
      </c>
    </row>
    <row r="361" spans="1:17" ht="68" x14ac:dyDescent="0.2">
      <c r="A361" t="s">
        <v>189</v>
      </c>
      <c r="B361" t="s">
        <v>90</v>
      </c>
      <c r="C361" t="s">
        <v>91</v>
      </c>
      <c r="D361" s="3">
        <v>44285</v>
      </c>
      <c r="E361" s="1">
        <v>44285.421736111108</v>
      </c>
      <c r="F361" t="s">
        <v>17</v>
      </c>
      <c r="G361" t="s">
        <v>29</v>
      </c>
      <c r="H361" s="1">
        <v>44285.375</v>
      </c>
      <c r="I361" s="1">
        <v>44285.489583333336</v>
      </c>
      <c r="J361" s="4">
        <f t="shared" si="5"/>
        <v>0.11458333333575865</v>
      </c>
      <c r="K361" t="s">
        <v>192</v>
      </c>
      <c r="M361">
        <v>0</v>
      </c>
      <c r="N361" s="6">
        <v>7.407407407407407E-4</v>
      </c>
      <c r="Q361" s="2" t="s">
        <v>19</v>
      </c>
    </row>
    <row r="362" spans="1:17" ht="68" x14ac:dyDescent="0.2">
      <c r="A362" t="s">
        <v>189</v>
      </c>
      <c r="B362" t="s">
        <v>90</v>
      </c>
      <c r="C362" t="s">
        <v>91</v>
      </c>
      <c r="D362" s="3">
        <v>44285</v>
      </c>
      <c r="E362" s="1">
        <v>44285.428298611114</v>
      </c>
      <c r="F362" t="s">
        <v>17</v>
      </c>
      <c r="G362" t="s">
        <v>29</v>
      </c>
      <c r="H362" s="1">
        <v>44285.375</v>
      </c>
      <c r="I362" s="1">
        <v>44285.489583333336</v>
      </c>
      <c r="J362" s="4">
        <f t="shared" si="5"/>
        <v>0.11458333333575865</v>
      </c>
      <c r="K362" t="s">
        <v>192</v>
      </c>
      <c r="M362">
        <v>0</v>
      </c>
      <c r="N362" s="6">
        <v>6.215277777777777E-3</v>
      </c>
      <c r="Q362" s="2" t="s">
        <v>19</v>
      </c>
    </row>
    <row r="363" spans="1:17" ht="68" x14ac:dyDescent="0.2">
      <c r="A363" t="s">
        <v>189</v>
      </c>
      <c r="B363" t="s">
        <v>90</v>
      </c>
      <c r="C363" t="s">
        <v>91</v>
      </c>
      <c r="D363" s="3">
        <v>44285</v>
      </c>
      <c r="E363" s="1">
        <v>44285.478645833333</v>
      </c>
      <c r="F363" t="s">
        <v>17</v>
      </c>
      <c r="G363" t="s">
        <v>29</v>
      </c>
      <c r="H363" s="1">
        <v>44285.375</v>
      </c>
      <c r="I363" s="1">
        <v>44285.489583333336</v>
      </c>
      <c r="J363" s="4">
        <f t="shared" si="5"/>
        <v>0.11458333333575865</v>
      </c>
      <c r="K363" t="s">
        <v>192</v>
      </c>
      <c r="M363">
        <v>0</v>
      </c>
      <c r="N363" s="6">
        <v>1.0763888888888889E-3</v>
      </c>
      <c r="Q363" s="2" t="s">
        <v>19</v>
      </c>
    </row>
    <row r="364" spans="1:17" ht="68" x14ac:dyDescent="0.2">
      <c r="A364" t="s">
        <v>189</v>
      </c>
      <c r="B364" t="s">
        <v>90</v>
      </c>
      <c r="C364" t="s">
        <v>91</v>
      </c>
      <c r="D364" s="3">
        <v>44285</v>
      </c>
      <c r="E364" s="1">
        <v>44285.478888888887</v>
      </c>
      <c r="F364" t="s">
        <v>17</v>
      </c>
      <c r="G364" t="s">
        <v>29</v>
      </c>
      <c r="H364" s="1">
        <v>44285.375</v>
      </c>
      <c r="I364" s="1">
        <v>44285.489583333336</v>
      </c>
      <c r="J364" s="4">
        <f t="shared" si="5"/>
        <v>0.11458333333575865</v>
      </c>
      <c r="K364" t="s">
        <v>192</v>
      </c>
      <c r="M364">
        <v>0</v>
      </c>
      <c r="N364" s="6">
        <v>3.3564814814814812E-4</v>
      </c>
      <c r="Q364" s="2" t="s">
        <v>19</v>
      </c>
    </row>
    <row r="365" spans="1:17" ht="68" x14ac:dyDescent="0.2">
      <c r="A365" t="s">
        <v>189</v>
      </c>
      <c r="B365" t="s">
        <v>90</v>
      </c>
      <c r="C365" t="s">
        <v>91</v>
      </c>
      <c r="D365" s="3">
        <v>44285</v>
      </c>
      <c r="E365" s="1">
        <v>44285.53601851852</v>
      </c>
      <c r="F365" t="s">
        <v>17</v>
      </c>
      <c r="G365" t="s">
        <v>42</v>
      </c>
      <c r="H365" s="1">
        <v>44285.53125</v>
      </c>
      <c r="I365" s="1">
        <v>44285.666666666664</v>
      </c>
      <c r="J365" s="4">
        <f t="shared" si="5"/>
        <v>0.13541666666424135</v>
      </c>
      <c r="K365" t="s">
        <v>192</v>
      </c>
      <c r="M365">
        <v>0</v>
      </c>
      <c r="N365" s="6">
        <v>5.5555555555555556E-4</v>
      </c>
      <c r="Q365" s="2" t="s">
        <v>19</v>
      </c>
    </row>
    <row r="366" spans="1:17" ht="68" x14ac:dyDescent="0.2">
      <c r="A366" t="s">
        <v>189</v>
      </c>
      <c r="B366" t="s">
        <v>90</v>
      </c>
      <c r="C366" t="s">
        <v>91</v>
      </c>
      <c r="D366" s="3">
        <v>44285</v>
      </c>
      <c r="E366" s="1">
        <v>44285.556886574072</v>
      </c>
      <c r="F366" t="s">
        <v>17</v>
      </c>
      <c r="G366" t="s">
        <v>42</v>
      </c>
      <c r="H366" s="1">
        <v>44285.53125</v>
      </c>
      <c r="I366" s="1">
        <v>44285.666666666664</v>
      </c>
      <c r="J366" s="4">
        <f t="shared" si="5"/>
        <v>0.13541666666424135</v>
      </c>
      <c r="K366" t="s">
        <v>192</v>
      </c>
      <c r="M366">
        <v>0</v>
      </c>
      <c r="N366" s="6">
        <v>1.3634259259259257E-2</v>
      </c>
      <c r="Q366" s="2" t="s">
        <v>19</v>
      </c>
    </row>
    <row r="367" spans="1:17" ht="68" x14ac:dyDescent="0.2">
      <c r="A367" t="s">
        <v>189</v>
      </c>
      <c r="B367" t="s">
        <v>90</v>
      </c>
      <c r="C367" t="s">
        <v>91</v>
      </c>
      <c r="D367" s="3">
        <v>44286</v>
      </c>
      <c r="E367" s="1">
        <v>44286.471990740742</v>
      </c>
      <c r="F367" t="s">
        <v>17</v>
      </c>
      <c r="G367" t="s">
        <v>31</v>
      </c>
      <c r="H367" s="1">
        <v>44286.354166666664</v>
      </c>
      <c r="I367" s="1">
        <v>44286.479166666664</v>
      </c>
      <c r="J367" s="4">
        <f t="shared" si="5"/>
        <v>0.125</v>
      </c>
      <c r="K367" t="s">
        <v>190</v>
      </c>
      <c r="M367">
        <v>0</v>
      </c>
      <c r="N367" s="6">
        <v>7.0486111111111105E-3</v>
      </c>
      <c r="Q367" s="2" t="s">
        <v>19</v>
      </c>
    </row>
    <row r="368" spans="1:17" ht="119" x14ac:dyDescent="0.2">
      <c r="A368" t="s">
        <v>189</v>
      </c>
      <c r="B368" t="s">
        <v>90</v>
      </c>
      <c r="C368" t="s">
        <v>91</v>
      </c>
      <c r="D368" s="3">
        <v>44287</v>
      </c>
      <c r="E368" s="1">
        <v>44287.396817129629</v>
      </c>
      <c r="F368" t="s">
        <v>17</v>
      </c>
      <c r="G368" t="s">
        <v>43</v>
      </c>
      <c r="H368" s="1">
        <v>44287.375</v>
      </c>
      <c r="I368" s="1">
        <v>44287.489583333336</v>
      </c>
      <c r="J368" s="4">
        <f t="shared" si="5"/>
        <v>0.11458333333575865</v>
      </c>
      <c r="K368" t="s">
        <v>192</v>
      </c>
      <c r="M368">
        <v>0</v>
      </c>
      <c r="N368" s="6">
        <v>5.8217592592592592E-3</v>
      </c>
      <c r="Q368" s="2" t="s">
        <v>97</v>
      </c>
    </row>
    <row r="369" spans="1:17" ht="68" x14ac:dyDescent="0.2">
      <c r="A369" t="s">
        <v>189</v>
      </c>
      <c r="B369" t="s">
        <v>90</v>
      </c>
      <c r="C369" t="s">
        <v>91</v>
      </c>
      <c r="D369" s="3">
        <v>44287</v>
      </c>
      <c r="E369" s="1">
        <v>44287.405578703707</v>
      </c>
      <c r="F369" t="s">
        <v>17</v>
      </c>
      <c r="G369" t="s">
        <v>43</v>
      </c>
      <c r="H369" s="1">
        <v>44287.375</v>
      </c>
      <c r="I369" s="1">
        <v>44287.489583333336</v>
      </c>
      <c r="J369" s="4">
        <f t="shared" si="5"/>
        <v>0.11458333333575865</v>
      </c>
      <c r="K369" t="s">
        <v>192</v>
      </c>
      <c r="M369">
        <v>0</v>
      </c>
      <c r="N369" s="6">
        <v>8.0324074074074065E-3</v>
      </c>
      <c r="Q369" s="2" t="s">
        <v>19</v>
      </c>
    </row>
    <row r="370" spans="1:17" ht="68" x14ac:dyDescent="0.2">
      <c r="A370" t="s">
        <v>189</v>
      </c>
      <c r="B370" t="s">
        <v>90</v>
      </c>
      <c r="C370" t="s">
        <v>91</v>
      </c>
      <c r="D370" s="3">
        <v>44287</v>
      </c>
      <c r="E370" s="1">
        <v>44287.410208333335</v>
      </c>
      <c r="F370" t="s">
        <v>17</v>
      </c>
      <c r="G370" t="s">
        <v>43</v>
      </c>
      <c r="H370" s="1">
        <v>44287.375</v>
      </c>
      <c r="I370" s="1">
        <v>44287.489583333336</v>
      </c>
      <c r="J370" s="4">
        <f t="shared" si="5"/>
        <v>0.11458333333575865</v>
      </c>
      <c r="K370" t="s">
        <v>192</v>
      </c>
      <c r="M370">
        <v>0</v>
      </c>
      <c r="N370" s="6">
        <v>4.2361111111111106E-3</v>
      </c>
      <c r="Q370" s="2" t="s">
        <v>19</v>
      </c>
    </row>
    <row r="371" spans="1:17" ht="119" x14ac:dyDescent="0.2">
      <c r="A371" t="s">
        <v>189</v>
      </c>
      <c r="B371" t="s">
        <v>90</v>
      </c>
      <c r="C371" t="s">
        <v>91</v>
      </c>
      <c r="D371" s="3">
        <v>44287</v>
      </c>
      <c r="E371" s="1">
        <v>44287.479699074072</v>
      </c>
      <c r="F371" t="s">
        <v>17</v>
      </c>
      <c r="G371" t="s">
        <v>43</v>
      </c>
      <c r="H371" s="1">
        <v>44287.375</v>
      </c>
      <c r="I371" s="1">
        <v>44287.489583333336</v>
      </c>
      <c r="J371" s="4">
        <f t="shared" si="5"/>
        <v>0.11458333333575865</v>
      </c>
      <c r="K371" t="s">
        <v>192</v>
      </c>
      <c r="M371">
        <v>0</v>
      </c>
      <c r="N371" s="6">
        <v>7.291666666666667E-4</v>
      </c>
      <c r="Q371" s="2" t="s">
        <v>98</v>
      </c>
    </row>
    <row r="372" spans="1:17" ht="68" x14ac:dyDescent="0.2">
      <c r="A372" t="s">
        <v>189</v>
      </c>
      <c r="B372" t="s">
        <v>90</v>
      </c>
      <c r="C372" t="s">
        <v>91</v>
      </c>
      <c r="D372" s="3">
        <v>44287</v>
      </c>
      <c r="E372" s="1">
        <v>44287.553749999999</v>
      </c>
      <c r="F372" t="s">
        <v>17</v>
      </c>
      <c r="G372" t="s">
        <v>37</v>
      </c>
      <c r="H372" s="1">
        <v>44287.53125</v>
      </c>
      <c r="I372" s="1">
        <v>44287.666666666664</v>
      </c>
      <c r="J372" s="4">
        <f t="shared" si="5"/>
        <v>0.13541666666424135</v>
      </c>
      <c r="K372" t="s">
        <v>192</v>
      </c>
      <c r="M372">
        <v>0</v>
      </c>
      <c r="N372" s="6">
        <v>3.0092592592592595E-4</v>
      </c>
      <c r="Q372" s="2" t="s">
        <v>19</v>
      </c>
    </row>
    <row r="373" spans="1:17" ht="68" x14ac:dyDescent="0.2">
      <c r="A373" t="s">
        <v>189</v>
      </c>
      <c r="B373" t="s">
        <v>90</v>
      </c>
      <c r="C373" t="s">
        <v>91</v>
      </c>
      <c r="D373" s="3">
        <v>44287</v>
      </c>
      <c r="E373" s="1">
        <v>44287.594907407409</v>
      </c>
      <c r="F373" t="s">
        <v>17</v>
      </c>
      <c r="G373" t="s">
        <v>37</v>
      </c>
      <c r="H373" s="1">
        <v>44287.53125</v>
      </c>
      <c r="I373" s="1">
        <v>44287.666666666664</v>
      </c>
      <c r="J373" s="4">
        <f t="shared" si="5"/>
        <v>0.13541666666424135</v>
      </c>
      <c r="K373" t="s">
        <v>192</v>
      </c>
      <c r="M373">
        <v>0</v>
      </c>
      <c r="N373" s="6">
        <v>2.75E-2</v>
      </c>
      <c r="Q373" s="2" t="s">
        <v>19</v>
      </c>
    </row>
    <row r="374" spans="1:17" ht="68" x14ac:dyDescent="0.2">
      <c r="A374" t="s">
        <v>189</v>
      </c>
      <c r="B374" t="s">
        <v>90</v>
      </c>
      <c r="C374" t="s">
        <v>91</v>
      </c>
      <c r="D374" s="3">
        <v>44288</v>
      </c>
      <c r="E374" s="1">
        <v>44288.474444444444</v>
      </c>
      <c r="F374" t="s">
        <v>17</v>
      </c>
      <c r="G374" t="s">
        <v>38</v>
      </c>
      <c r="H374" s="1">
        <v>44288.354166666664</v>
      </c>
      <c r="I374" s="1">
        <v>44288.479166666664</v>
      </c>
      <c r="J374" s="4">
        <f t="shared" si="5"/>
        <v>0.125</v>
      </c>
      <c r="K374" t="s">
        <v>190</v>
      </c>
      <c r="M374">
        <v>0</v>
      </c>
      <c r="N374" s="6">
        <v>0</v>
      </c>
      <c r="Q374" s="2" t="s">
        <v>19</v>
      </c>
    </row>
    <row r="375" spans="1:17" ht="68" x14ac:dyDescent="0.2">
      <c r="A375" t="s">
        <v>189</v>
      </c>
      <c r="B375" t="s">
        <v>90</v>
      </c>
      <c r="C375" t="s">
        <v>91</v>
      </c>
      <c r="D375" s="3">
        <v>44291</v>
      </c>
      <c r="E375" s="1">
        <v>44291.465451388889</v>
      </c>
      <c r="F375" t="s">
        <v>17</v>
      </c>
      <c r="G375" t="s">
        <v>38</v>
      </c>
      <c r="H375" s="1">
        <v>44291.354166666664</v>
      </c>
      <c r="I375" s="1">
        <v>44291.479166666664</v>
      </c>
      <c r="J375" s="4">
        <f t="shared" si="5"/>
        <v>0.125</v>
      </c>
      <c r="K375" t="s">
        <v>190</v>
      </c>
      <c r="M375">
        <v>0</v>
      </c>
      <c r="N375" s="6">
        <v>1.0173611111111111E-2</v>
      </c>
      <c r="Q375" s="2" t="s">
        <v>19</v>
      </c>
    </row>
    <row r="376" spans="1:17" ht="153" x14ac:dyDescent="0.2">
      <c r="A376" t="s">
        <v>189</v>
      </c>
      <c r="B376" t="s">
        <v>90</v>
      </c>
      <c r="C376" t="s">
        <v>91</v>
      </c>
      <c r="D376" s="3">
        <v>44292</v>
      </c>
      <c r="E376" s="1">
        <v>44292.423958333333</v>
      </c>
      <c r="F376" t="s">
        <v>17</v>
      </c>
      <c r="G376" t="s">
        <v>44</v>
      </c>
      <c r="H376" s="1">
        <v>44292.375</v>
      </c>
      <c r="I376" s="1">
        <v>44292.489583333336</v>
      </c>
      <c r="J376" s="4">
        <f t="shared" si="5"/>
        <v>0.11458333333575865</v>
      </c>
      <c r="K376" t="s">
        <v>192</v>
      </c>
      <c r="M376">
        <v>0</v>
      </c>
      <c r="N376" s="6">
        <v>8.0092592592592594E-3</v>
      </c>
      <c r="Q376" s="2" t="s">
        <v>99</v>
      </c>
    </row>
    <row r="377" spans="1:17" ht="68" x14ac:dyDescent="0.2">
      <c r="A377" t="s">
        <v>189</v>
      </c>
      <c r="B377" t="s">
        <v>90</v>
      </c>
      <c r="C377" t="s">
        <v>91</v>
      </c>
      <c r="D377" s="3">
        <v>44292</v>
      </c>
      <c r="E377" s="1">
        <v>44292.42690972222</v>
      </c>
      <c r="F377" t="s">
        <v>17</v>
      </c>
      <c r="G377" t="s">
        <v>44</v>
      </c>
      <c r="H377" s="1">
        <v>44292.375</v>
      </c>
      <c r="I377" s="1">
        <v>44292.489583333336</v>
      </c>
      <c r="J377" s="4">
        <f t="shared" si="5"/>
        <v>0.11458333333575865</v>
      </c>
      <c r="K377" t="s">
        <v>192</v>
      </c>
      <c r="M377">
        <v>0</v>
      </c>
      <c r="N377" s="6">
        <v>2.7199074074074074E-3</v>
      </c>
      <c r="Q377" s="2" t="s">
        <v>19</v>
      </c>
    </row>
    <row r="378" spans="1:17" ht="68" x14ac:dyDescent="0.2">
      <c r="A378" t="s">
        <v>189</v>
      </c>
      <c r="B378" t="s">
        <v>90</v>
      </c>
      <c r="C378" t="s">
        <v>91</v>
      </c>
      <c r="D378" s="3">
        <v>44292</v>
      </c>
      <c r="E378" s="1">
        <v>44292.439965277779</v>
      </c>
      <c r="F378" t="s">
        <v>17</v>
      </c>
      <c r="G378" t="s">
        <v>44</v>
      </c>
      <c r="H378" s="1">
        <v>44292.375</v>
      </c>
      <c r="I378" s="1">
        <v>44292.489583333336</v>
      </c>
      <c r="J378" s="4">
        <f t="shared" si="5"/>
        <v>0.11458333333575865</v>
      </c>
      <c r="K378" t="s">
        <v>192</v>
      </c>
      <c r="M378">
        <v>0</v>
      </c>
      <c r="N378" s="6">
        <v>1.5972222222222221E-3</v>
      </c>
      <c r="Q378" s="2" t="s">
        <v>19</v>
      </c>
    </row>
    <row r="379" spans="1:17" ht="68" x14ac:dyDescent="0.2">
      <c r="A379" t="s">
        <v>189</v>
      </c>
      <c r="B379" t="s">
        <v>90</v>
      </c>
      <c r="C379" t="s">
        <v>91</v>
      </c>
      <c r="D379" s="3">
        <v>44292</v>
      </c>
      <c r="E379" s="1">
        <v>44292.444444444445</v>
      </c>
      <c r="F379" t="s">
        <v>17</v>
      </c>
      <c r="G379" t="s">
        <v>44</v>
      </c>
      <c r="H379" s="1">
        <v>44292.375</v>
      </c>
      <c r="I379" s="1">
        <v>44292.489583333336</v>
      </c>
      <c r="J379" s="4">
        <f t="shared" si="5"/>
        <v>0.11458333333575865</v>
      </c>
      <c r="K379" t="s">
        <v>192</v>
      </c>
      <c r="M379">
        <v>0</v>
      </c>
      <c r="N379" s="6">
        <v>2.7777777777777779E-3</v>
      </c>
      <c r="Q379" s="2" t="s">
        <v>19</v>
      </c>
    </row>
    <row r="380" spans="1:17" ht="68" x14ac:dyDescent="0.2">
      <c r="A380" t="s">
        <v>189</v>
      </c>
      <c r="B380" t="s">
        <v>90</v>
      </c>
      <c r="C380" t="s">
        <v>91</v>
      </c>
      <c r="D380" s="3">
        <v>44292</v>
      </c>
      <c r="E380" s="1">
        <v>44292.57471064815</v>
      </c>
      <c r="F380" t="s">
        <v>17</v>
      </c>
      <c r="G380" t="s">
        <v>45</v>
      </c>
      <c r="H380" s="1">
        <v>44292.53125</v>
      </c>
      <c r="I380" s="1">
        <v>44292.666666666664</v>
      </c>
      <c r="J380" s="4">
        <f t="shared" si="5"/>
        <v>0.13541666666424135</v>
      </c>
      <c r="K380" t="s">
        <v>193</v>
      </c>
      <c r="M380">
        <v>0</v>
      </c>
      <c r="N380" s="6">
        <v>6.9444444444444447E-4</v>
      </c>
      <c r="Q380" s="2" t="s">
        <v>19</v>
      </c>
    </row>
    <row r="381" spans="1:17" ht="68" x14ac:dyDescent="0.2">
      <c r="A381" t="s">
        <v>189</v>
      </c>
      <c r="B381" t="s">
        <v>90</v>
      </c>
      <c r="C381" t="s">
        <v>91</v>
      </c>
      <c r="D381" s="3">
        <v>44292</v>
      </c>
      <c r="E381" s="1">
        <v>44292.574930555558</v>
      </c>
      <c r="F381" t="s">
        <v>17</v>
      </c>
      <c r="G381" t="s">
        <v>45</v>
      </c>
      <c r="H381" s="1">
        <v>44292.53125</v>
      </c>
      <c r="I381" s="1">
        <v>44292.666666666664</v>
      </c>
      <c r="J381" s="4">
        <f t="shared" si="5"/>
        <v>0.13541666666424135</v>
      </c>
      <c r="K381" t="s">
        <v>193</v>
      </c>
      <c r="M381">
        <v>0</v>
      </c>
      <c r="N381" s="6">
        <v>1.8518518518518518E-4</v>
      </c>
      <c r="Q381" s="2" t="s">
        <v>19</v>
      </c>
    </row>
    <row r="382" spans="1:17" ht="68" x14ac:dyDescent="0.2">
      <c r="A382" t="s">
        <v>189</v>
      </c>
      <c r="B382" t="s">
        <v>90</v>
      </c>
      <c r="C382" t="s">
        <v>91</v>
      </c>
      <c r="D382" s="3">
        <v>44292</v>
      </c>
      <c r="E382" s="1">
        <v>44292.670092592591</v>
      </c>
      <c r="F382" t="s">
        <v>17</v>
      </c>
      <c r="G382" t="s">
        <v>45</v>
      </c>
      <c r="H382" s="1">
        <v>44292.53125</v>
      </c>
      <c r="I382" s="1">
        <v>44292.666666666664</v>
      </c>
      <c r="J382" s="4">
        <f t="shared" si="5"/>
        <v>0.13541666666424135</v>
      </c>
      <c r="K382" t="s">
        <v>193</v>
      </c>
      <c r="M382">
        <v>0</v>
      </c>
      <c r="N382" s="6">
        <v>1.1006944444444444E-2</v>
      </c>
      <c r="Q382" s="2" t="s">
        <v>19</v>
      </c>
    </row>
    <row r="383" spans="1:17" ht="68" x14ac:dyDescent="0.2">
      <c r="A383" t="s">
        <v>189</v>
      </c>
      <c r="B383" t="s">
        <v>90</v>
      </c>
      <c r="C383" t="s">
        <v>91</v>
      </c>
      <c r="D383" s="3">
        <v>44293</v>
      </c>
      <c r="E383" s="1">
        <v>44293.459629629629</v>
      </c>
      <c r="F383" t="s">
        <v>17</v>
      </c>
      <c r="G383" t="s">
        <v>18</v>
      </c>
      <c r="H383" s="1">
        <v>44293.354166666664</v>
      </c>
      <c r="I383" s="1">
        <v>44293.479166666664</v>
      </c>
      <c r="J383" s="4">
        <f t="shared" si="5"/>
        <v>0.125</v>
      </c>
      <c r="K383" t="s">
        <v>190</v>
      </c>
      <c r="M383">
        <v>0</v>
      </c>
      <c r="N383" s="6">
        <v>0</v>
      </c>
      <c r="Q383" s="2" t="s">
        <v>19</v>
      </c>
    </row>
    <row r="384" spans="1:17" ht="68" x14ac:dyDescent="0.2">
      <c r="A384" t="s">
        <v>189</v>
      </c>
      <c r="B384" t="s">
        <v>90</v>
      </c>
      <c r="C384" t="s">
        <v>91</v>
      </c>
      <c r="D384" s="3">
        <v>44294</v>
      </c>
      <c r="E384" s="1">
        <v>44294.48709490741</v>
      </c>
      <c r="F384" t="s">
        <v>17</v>
      </c>
      <c r="G384" t="s">
        <v>46</v>
      </c>
      <c r="H384" s="1">
        <v>44294.375</v>
      </c>
      <c r="I384" s="1">
        <v>44294.489583333336</v>
      </c>
      <c r="J384" s="4">
        <f t="shared" si="5"/>
        <v>0.11458333333575865</v>
      </c>
      <c r="K384" t="s">
        <v>194</v>
      </c>
      <c r="M384">
        <v>0</v>
      </c>
      <c r="N384" s="6">
        <v>2.3148148148148151E-3</v>
      </c>
      <c r="Q384" s="2" t="s">
        <v>19</v>
      </c>
    </row>
    <row r="385" spans="1:17" ht="68" x14ac:dyDescent="0.2">
      <c r="A385" t="s">
        <v>189</v>
      </c>
      <c r="B385" t="s">
        <v>90</v>
      </c>
      <c r="C385" t="s">
        <v>91</v>
      </c>
      <c r="D385" s="3">
        <v>44294</v>
      </c>
      <c r="E385" s="1">
        <v>44294.669502314813</v>
      </c>
      <c r="F385" t="s">
        <v>17</v>
      </c>
      <c r="G385" t="s">
        <v>42</v>
      </c>
      <c r="H385" s="1">
        <v>44294.53125</v>
      </c>
      <c r="I385" s="1">
        <v>44294.666666666664</v>
      </c>
      <c r="J385" s="4">
        <f t="shared" si="5"/>
        <v>0.13541666666424135</v>
      </c>
      <c r="K385" t="s">
        <v>192</v>
      </c>
      <c r="M385">
        <v>0</v>
      </c>
      <c r="N385" s="6">
        <v>0</v>
      </c>
      <c r="Q385" s="2" t="s">
        <v>19</v>
      </c>
    </row>
    <row r="386" spans="1:17" ht="68" x14ac:dyDescent="0.2">
      <c r="A386" t="s">
        <v>189</v>
      </c>
      <c r="B386" t="s">
        <v>90</v>
      </c>
      <c r="C386" t="s">
        <v>91</v>
      </c>
      <c r="D386" s="3">
        <v>44298</v>
      </c>
      <c r="E386" s="1">
        <v>44298.567025462966</v>
      </c>
      <c r="F386" t="s">
        <v>17</v>
      </c>
      <c r="G386" t="s">
        <v>45</v>
      </c>
      <c r="H386" s="1">
        <v>44298.53125</v>
      </c>
      <c r="I386" s="1">
        <v>44298.666666666664</v>
      </c>
      <c r="J386" s="4">
        <f t="shared" si="5"/>
        <v>0.13541666666424135</v>
      </c>
      <c r="K386" t="s">
        <v>195</v>
      </c>
      <c r="M386">
        <v>0</v>
      </c>
      <c r="N386" s="6">
        <v>2.6620370370370372E-4</v>
      </c>
      <c r="Q386" s="2" t="s">
        <v>19</v>
      </c>
    </row>
    <row r="387" spans="1:17" ht="68" x14ac:dyDescent="0.2">
      <c r="A387" t="s">
        <v>189</v>
      </c>
      <c r="B387" t="s">
        <v>90</v>
      </c>
      <c r="C387" t="s">
        <v>91</v>
      </c>
      <c r="D387" s="3">
        <v>44298</v>
      </c>
      <c r="E387" s="1">
        <v>44298.567349537036</v>
      </c>
      <c r="F387" t="s">
        <v>17</v>
      </c>
      <c r="G387" t="s">
        <v>45</v>
      </c>
      <c r="H387" s="1">
        <v>44298.53125</v>
      </c>
      <c r="I387" s="1">
        <v>44298.666666666664</v>
      </c>
      <c r="J387" s="4">
        <f t="shared" ref="J387:J450" si="6">IF($I387="","",$I387-$H387)</f>
        <v>0.13541666666424135</v>
      </c>
      <c r="K387" t="s">
        <v>195</v>
      </c>
      <c r="M387">
        <v>0</v>
      </c>
      <c r="N387" s="6">
        <v>1.7361111111111112E-4</v>
      </c>
      <c r="Q387" s="2" t="s">
        <v>19</v>
      </c>
    </row>
    <row r="388" spans="1:17" ht="68" x14ac:dyDescent="0.2">
      <c r="A388" t="s">
        <v>189</v>
      </c>
      <c r="B388" t="s">
        <v>90</v>
      </c>
      <c r="C388" t="s">
        <v>91</v>
      </c>
      <c r="D388" s="3">
        <v>44298</v>
      </c>
      <c r="E388" s="1">
        <v>44298.627881944441</v>
      </c>
      <c r="F388" t="s">
        <v>17</v>
      </c>
      <c r="G388" t="s">
        <v>45</v>
      </c>
      <c r="H388" s="1">
        <v>44298.53125</v>
      </c>
      <c r="I388" s="1">
        <v>44298.666666666664</v>
      </c>
      <c r="J388" s="4">
        <f t="shared" si="6"/>
        <v>0.13541666666424135</v>
      </c>
      <c r="K388" t="s">
        <v>195</v>
      </c>
      <c r="M388">
        <v>0</v>
      </c>
      <c r="N388" s="6">
        <v>2.6620370370370372E-4</v>
      </c>
      <c r="Q388" s="2" t="s">
        <v>19</v>
      </c>
    </row>
    <row r="389" spans="1:17" ht="68" x14ac:dyDescent="0.2">
      <c r="A389" t="s">
        <v>189</v>
      </c>
      <c r="B389" t="s">
        <v>90</v>
      </c>
      <c r="C389" t="s">
        <v>91</v>
      </c>
      <c r="D389" s="3">
        <v>44298</v>
      </c>
      <c r="E389" s="1">
        <v>44298.62871527778</v>
      </c>
      <c r="F389" t="s">
        <v>17</v>
      </c>
      <c r="G389" t="s">
        <v>45</v>
      </c>
      <c r="H389" s="1">
        <v>44298.53125</v>
      </c>
      <c r="I389" s="1">
        <v>44298.666666666664</v>
      </c>
      <c r="J389" s="4">
        <f t="shared" si="6"/>
        <v>0.13541666666424135</v>
      </c>
      <c r="K389" t="s">
        <v>195</v>
      </c>
      <c r="M389">
        <v>0</v>
      </c>
      <c r="N389" s="6">
        <v>4.2824074074074075E-4</v>
      </c>
      <c r="Q389" s="2" t="s">
        <v>19</v>
      </c>
    </row>
    <row r="390" spans="1:17" ht="68" x14ac:dyDescent="0.2">
      <c r="A390" t="s">
        <v>189</v>
      </c>
      <c r="B390" t="s">
        <v>90</v>
      </c>
      <c r="C390" t="s">
        <v>91</v>
      </c>
      <c r="D390" s="3">
        <v>44298</v>
      </c>
      <c r="E390" s="1">
        <v>44298.637280092589</v>
      </c>
      <c r="F390" t="s">
        <v>17</v>
      </c>
      <c r="G390" t="s">
        <v>45</v>
      </c>
      <c r="H390" s="1">
        <v>44298.53125</v>
      </c>
      <c r="I390" s="1">
        <v>44298.666666666664</v>
      </c>
      <c r="J390" s="4">
        <f t="shared" si="6"/>
        <v>0.13541666666424135</v>
      </c>
      <c r="K390" t="s">
        <v>195</v>
      </c>
      <c r="M390">
        <v>0</v>
      </c>
      <c r="N390" s="6">
        <v>7.2569444444444443E-3</v>
      </c>
      <c r="Q390" s="2" t="s">
        <v>19</v>
      </c>
    </row>
    <row r="391" spans="1:17" ht="68" x14ac:dyDescent="0.2">
      <c r="A391" t="s">
        <v>189</v>
      </c>
      <c r="B391" t="s">
        <v>90</v>
      </c>
      <c r="C391" t="s">
        <v>91</v>
      </c>
      <c r="D391" s="3">
        <v>44298</v>
      </c>
      <c r="E391" s="1">
        <v>44298.660879629628</v>
      </c>
      <c r="F391" t="s">
        <v>17</v>
      </c>
      <c r="G391" t="s">
        <v>45</v>
      </c>
      <c r="H391" s="1">
        <v>44298.53125</v>
      </c>
      <c r="I391" s="1">
        <v>44298.666666666664</v>
      </c>
      <c r="J391" s="4">
        <f t="shared" si="6"/>
        <v>0.13541666666424135</v>
      </c>
      <c r="K391" t="s">
        <v>195</v>
      </c>
      <c r="M391">
        <v>0</v>
      </c>
      <c r="N391" s="6">
        <v>0</v>
      </c>
      <c r="Q391" s="2" t="s">
        <v>19</v>
      </c>
    </row>
    <row r="392" spans="1:17" ht="68" x14ac:dyDescent="0.2">
      <c r="A392" t="s">
        <v>189</v>
      </c>
      <c r="B392" t="s">
        <v>90</v>
      </c>
      <c r="C392" t="s">
        <v>91</v>
      </c>
      <c r="D392" s="3">
        <v>44299</v>
      </c>
      <c r="E392" s="1">
        <v>44299.633969907409</v>
      </c>
      <c r="F392" t="s">
        <v>17</v>
      </c>
      <c r="G392" t="s">
        <v>48</v>
      </c>
      <c r="H392" s="1">
        <v>44299.53125</v>
      </c>
      <c r="I392" s="1">
        <v>44299.635416666664</v>
      </c>
      <c r="J392" s="4">
        <f t="shared" si="6"/>
        <v>0.10416666666424135</v>
      </c>
      <c r="K392" t="s">
        <v>192</v>
      </c>
      <c r="M392">
        <v>0</v>
      </c>
      <c r="N392" s="6">
        <v>0</v>
      </c>
      <c r="Q392" s="2" t="s">
        <v>19</v>
      </c>
    </row>
    <row r="393" spans="1:17" ht="68" x14ac:dyDescent="0.2">
      <c r="A393" t="s">
        <v>189</v>
      </c>
      <c r="B393" t="s">
        <v>90</v>
      </c>
      <c r="C393" t="s">
        <v>91</v>
      </c>
      <c r="D393" s="3">
        <v>44299</v>
      </c>
      <c r="E393" s="1">
        <v>44299.66741898148</v>
      </c>
      <c r="F393" t="s">
        <v>17</v>
      </c>
      <c r="G393" t="s">
        <v>49</v>
      </c>
      <c r="H393" s="1">
        <v>44299.63958333333</v>
      </c>
      <c r="I393" s="1">
        <v>44299.666666666664</v>
      </c>
      <c r="J393" s="4">
        <f t="shared" si="6"/>
        <v>2.7083333334303461E-2</v>
      </c>
      <c r="K393" t="s">
        <v>196</v>
      </c>
      <c r="M393">
        <v>0</v>
      </c>
      <c r="N393" s="6">
        <v>0</v>
      </c>
      <c r="Q393" s="2" t="s">
        <v>19</v>
      </c>
    </row>
    <row r="394" spans="1:17" ht="68" x14ac:dyDescent="0.2">
      <c r="A394" t="s">
        <v>189</v>
      </c>
      <c r="B394" t="s">
        <v>90</v>
      </c>
      <c r="C394" t="s">
        <v>91</v>
      </c>
      <c r="D394" s="3">
        <v>44300</v>
      </c>
      <c r="E394" s="1">
        <v>44300.389340277776</v>
      </c>
      <c r="F394" t="s">
        <v>17</v>
      </c>
      <c r="G394" t="s">
        <v>50</v>
      </c>
      <c r="H394" s="1">
        <v>44300.375</v>
      </c>
      <c r="I394" s="1">
        <v>44300.489583333336</v>
      </c>
      <c r="J394" s="4">
        <f t="shared" si="6"/>
        <v>0.11458333333575865</v>
      </c>
      <c r="K394" t="s">
        <v>197</v>
      </c>
      <c r="M394">
        <v>0</v>
      </c>
      <c r="N394" s="6">
        <v>1.0416666666666666E-2</v>
      </c>
      <c r="Q394" s="2" t="s">
        <v>19</v>
      </c>
    </row>
    <row r="395" spans="1:17" ht="68" x14ac:dyDescent="0.2">
      <c r="A395" t="s">
        <v>189</v>
      </c>
      <c r="B395" t="s">
        <v>90</v>
      </c>
      <c r="C395" t="s">
        <v>91</v>
      </c>
      <c r="D395" s="3">
        <v>44300</v>
      </c>
      <c r="E395" s="1">
        <v>44300.392268518517</v>
      </c>
      <c r="F395" t="s">
        <v>17</v>
      </c>
      <c r="G395" t="s">
        <v>50</v>
      </c>
      <c r="H395" s="1">
        <v>44300.375</v>
      </c>
      <c r="I395" s="1">
        <v>44300.489583333336</v>
      </c>
      <c r="J395" s="4">
        <f t="shared" si="6"/>
        <v>0.11458333333575865</v>
      </c>
      <c r="K395" t="s">
        <v>197</v>
      </c>
      <c r="M395">
        <v>0</v>
      </c>
      <c r="N395" s="6">
        <v>9.2592592592592588E-5</v>
      </c>
      <c r="Q395" s="2" t="s">
        <v>19</v>
      </c>
    </row>
    <row r="396" spans="1:17" ht="68" x14ac:dyDescent="0.2">
      <c r="A396" t="s">
        <v>189</v>
      </c>
      <c r="B396" t="s">
        <v>90</v>
      </c>
      <c r="C396" t="s">
        <v>91</v>
      </c>
      <c r="D396" s="3">
        <v>44300</v>
      </c>
      <c r="E396" s="1">
        <v>44300.456423611111</v>
      </c>
      <c r="F396" t="s">
        <v>17</v>
      </c>
      <c r="G396" t="s">
        <v>50</v>
      </c>
      <c r="H396" s="1">
        <v>44300.375</v>
      </c>
      <c r="I396" s="1">
        <v>44300.489583333336</v>
      </c>
      <c r="J396" s="4">
        <f t="shared" si="6"/>
        <v>0.11458333333575865</v>
      </c>
      <c r="K396" t="s">
        <v>197</v>
      </c>
      <c r="M396">
        <v>0</v>
      </c>
      <c r="N396" s="5" t="s">
        <v>144</v>
      </c>
      <c r="Q396" s="2" t="s">
        <v>19</v>
      </c>
    </row>
    <row r="397" spans="1:17" ht="68" x14ac:dyDescent="0.2">
      <c r="A397" t="s">
        <v>189</v>
      </c>
      <c r="B397" t="s">
        <v>90</v>
      </c>
      <c r="C397" t="s">
        <v>91</v>
      </c>
      <c r="D397" s="3">
        <v>44300</v>
      </c>
      <c r="E397" s="1">
        <v>44300.490486111114</v>
      </c>
      <c r="F397" t="s">
        <v>17</v>
      </c>
      <c r="G397" t="s">
        <v>50</v>
      </c>
      <c r="H397" s="1">
        <v>44300.375</v>
      </c>
      <c r="I397" s="1">
        <v>44300.489583333336</v>
      </c>
      <c r="J397" s="4">
        <f t="shared" si="6"/>
        <v>0.11458333333575865</v>
      </c>
      <c r="K397" t="s">
        <v>197</v>
      </c>
      <c r="M397">
        <v>0</v>
      </c>
      <c r="N397" s="6">
        <v>0</v>
      </c>
      <c r="Q397" s="2" t="s">
        <v>19</v>
      </c>
    </row>
    <row r="398" spans="1:17" ht="68" x14ac:dyDescent="0.2">
      <c r="A398" t="s">
        <v>189</v>
      </c>
      <c r="B398" t="s">
        <v>90</v>
      </c>
      <c r="C398" t="s">
        <v>91</v>
      </c>
      <c r="D398" s="3">
        <v>44300</v>
      </c>
      <c r="E398" s="1">
        <v>44300.57335648148</v>
      </c>
      <c r="F398" t="s">
        <v>17</v>
      </c>
      <c r="G398" t="s">
        <v>51</v>
      </c>
      <c r="H398" s="1">
        <v>44300.552083333336</v>
      </c>
      <c r="I398" s="1">
        <v>44300.666666666664</v>
      </c>
      <c r="J398" s="4">
        <f t="shared" si="6"/>
        <v>0.11458333332848269</v>
      </c>
      <c r="K398" t="s">
        <v>198</v>
      </c>
      <c r="M398">
        <v>0</v>
      </c>
      <c r="N398" s="6">
        <v>3.1597222222222222E-3</v>
      </c>
      <c r="Q398" s="2" t="s">
        <v>19</v>
      </c>
    </row>
    <row r="399" spans="1:17" ht="68" x14ac:dyDescent="0.2">
      <c r="A399" t="s">
        <v>189</v>
      </c>
      <c r="B399" t="s">
        <v>90</v>
      </c>
      <c r="C399" t="s">
        <v>91</v>
      </c>
      <c r="D399" s="3">
        <v>44301</v>
      </c>
      <c r="E399" s="1">
        <v>44301.474560185183</v>
      </c>
      <c r="F399" t="s">
        <v>17</v>
      </c>
      <c r="G399" t="s">
        <v>52</v>
      </c>
      <c r="H399" s="1">
        <v>44301.375</v>
      </c>
      <c r="I399" s="1">
        <v>44301.510416666664</v>
      </c>
      <c r="J399" s="4">
        <f t="shared" si="6"/>
        <v>0.13541666666424135</v>
      </c>
      <c r="K399" t="s">
        <v>192</v>
      </c>
      <c r="M399">
        <v>0</v>
      </c>
      <c r="N399" s="6">
        <v>2.0335648148148148E-2</v>
      </c>
      <c r="Q399" s="2" t="s">
        <v>19</v>
      </c>
    </row>
    <row r="400" spans="1:17" ht="68" x14ac:dyDescent="0.2">
      <c r="A400" t="s">
        <v>189</v>
      </c>
      <c r="B400" t="s">
        <v>90</v>
      </c>
      <c r="C400" t="s">
        <v>91</v>
      </c>
      <c r="D400" s="3">
        <v>44301</v>
      </c>
      <c r="E400" s="1">
        <v>44301.483796296299</v>
      </c>
      <c r="F400" t="s">
        <v>17</v>
      </c>
      <c r="G400" t="s">
        <v>52</v>
      </c>
      <c r="H400" s="1">
        <v>44301.375</v>
      </c>
      <c r="I400" s="1">
        <v>44301.510416666664</v>
      </c>
      <c r="J400" s="4">
        <f t="shared" si="6"/>
        <v>0.13541666666424135</v>
      </c>
      <c r="K400" t="s">
        <v>192</v>
      </c>
      <c r="M400">
        <v>0</v>
      </c>
      <c r="N400" s="6">
        <v>9.1666666666666667E-3</v>
      </c>
      <c r="Q400" s="2" t="s">
        <v>19</v>
      </c>
    </row>
    <row r="401" spans="1:17" ht="68" x14ac:dyDescent="0.2">
      <c r="A401" t="s">
        <v>189</v>
      </c>
      <c r="B401" t="s">
        <v>90</v>
      </c>
      <c r="C401" t="s">
        <v>91</v>
      </c>
      <c r="D401" s="3">
        <v>44301</v>
      </c>
      <c r="E401" s="1">
        <v>44301.663888888892</v>
      </c>
      <c r="F401" t="s">
        <v>17</v>
      </c>
      <c r="G401" t="s">
        <v>37</v>
      </c>
      <c r="H401" s="1">
        <v>44301.53125</v>
      </c>
      <c r="I401" s="1">
        <v>44301.666666666664</v>
      </c>
      <c r="J401" s="4">
        <f t="shared" si="6"/>
        <v>0.13541666666424135</v>
      </c>
      <c r="K401" t="s">
        <v>192</v>
      </c>
      <c r="M401">
        <v>0</v>
      </c>
      <c r="N401" s="6">
        <v>0</v>
      </c>
      <c r="Q401" s="2" t="s">
        <v>19</v>
      </c>
    </row>
    <row r="402" spans="1:17" ht="68" x14ac:dyDescent="0.2">
      <c r="A402" t="s">
        <v>189</v>
      </c>
      <c r="B402" t="s">
        <v>90</v>
      </c>
      <c r="C402" t="s">
        <v>91</v>
      </c>
      <c r="D402" s="3">
        <v>44302</v>
      </c>
      <c r="E402" s="1">
        <v>44302.486793981479</v>
      </c>
      <c r="F402" t="s">
        <v>17</v>
      </c>
      <c r="G402" t="s">
        <v>53</v>
      </c>
      <c r="H402" s="1">
        <v>44302.395833333336</v>
      </c>
      <c r="I402" s="1">
        <v>44302.489583333336</v>
      </c>
      <c r="J402" s="4">
        <f t="shared" si="6"/>
        <v>9.375E-2</v>
      </c>
      <c r="K402" t="s">
        <v>199</v>
      </c>
      <c r="M402">
        <v>0</v>
      </c>
      <c r="N402" s="6">
        <v>0</v>
      </c>
      <c r="Q402" s="2" t="s">
        <v>19</v>
      </c>
    </row>
    <row r="403" spans="1:17" ht="68" x14ac:dyDescent="0.2">
      <c r="A403" t="s">
        <v>189</v>
      </c>
      <c r="B403" t="s">
        <v>90</v>
      </c>
      <c r="C403" t="s">
        <v>91</v>
      </c>
      <c r="D403" s="3">
        <v>44302</v>
      </c>
      <c r="E403" s="1">
        <v>44302.657997685186</v>
      </c>
      <c r="F403" t="s">
        <v>17</v>
      </c>
      <c r="G403" t="s">
        <v>54</v>
      </c>
      <c r="H403" s="1">
        <v>44302.53125</v>
      </c>
      <c r="I403" s="1">
        <v>44302.666666666664</v>
      </c>
      <c r="J403" s="4">
        <f t="shared" si="6"/>
        <v>0.13541666666424135</v>
      </c>
      <c r="K403" t="s">
        <v>195</v>
      </c>
      <c r="M403">
        <v>0</v>
      </c>
      <c r="N403" s="6">
        <v>0</v>
      </c>
      <c r="Q403" s="2" t="s">
        <v>19</v>
      </c>
    </row>
    <row r="404" spans="1:17" ht="68" x14ac:dyDescent="0.2">
      <c r="A404" t="s">
        <v>189</v>
      </c>
      <c r="B404" t="s">
        <v>90</v>
      </c>
      <c r="C404" t="s">
        <v>91</v>
      </c>
      <c r="D404" s="3">
        <v>44307</v>
      </c>
      <c r="E404" s="1">
        <v>44307.409525462965</v>
      </c>
      <c r="F404" t="s">
        <v>17</v>
      </c>
      <c r="G404" t="s">
        <v>36</v>
      </c>
      <c r="H404" s="1">
        <v>44307.375</v>
      </c>
      <c r="I404" s="1">
        <v>44307.489583333336</v>
      </c>
      <c r="J404" s="4">
        <f t="shared" si="6"/>
        <v>0.11458333333575865</v>
      </c>
      <c r="K404" t="s">
        <v>197</v>
      </c>
      <c r="M404">
        <v>0</v>
      </c>
      <c r="N404" s="6">
        <v>4.2013888888888891E-3</v>
      </c>
      <c r="Q404" s="2" t="s">
        <v>19</v>
      </c>
    </row>
    <row r="405" spans="1:17" ht="68" x14ac:dyDescent="0.2">
      <c r="A405" t="s">
        <v>189</v>
      </c>
      <c r="B405" t="s">
        <v>90</v>
      </c>
      <c r="C405" t="s">
        <v>91</v>
      </c>
      <c r="D405" s="3">
        <v>44307</v>
      </c>
      <c r="E405" s="1">
        <v>44307.418912037036</v>
      </c>
      <c r="F405" t="s">
        <v>17</v>
      </c>
      <c r="G405" t="s">
        <v>36</v>
      </c>
      <c r="H405" s="1">
        <v>44307.375</v>
      </c>
      <c r="I405" s="1">
        <v>44307.489583333336</v>
      </c>
      <c r="J405" s="4">
        <f t="shared" si="6"/>
        <v>0.11458333333575865</v>
      </c>
      <c r="K405" t="s">
        <v>197</v>
      </c>
      <c r="M405">
        <v>0</v>
      </c>
      <c r="N405" s="6">
        <v>9.1782407407407403E-3</v>
      </c>
      <c r="Q405" s="2" t="s">
        <v>19</v>
      </c>
    </row>
    <row r="406" spans="1:17" ht="68" x14ac:dyDescent="0.2">
      <c r="A406" t="s">
        <v>189</v>
      </c>
      <c r="B406" t="s">
        <v>90</v>
      </c>
      <c r="C406" t="s">
        <v>91</v>
      </c>
      <c r="D406" s="3">
        <v>44307</v>
      </c>
      <c r="E406" s="1">
        <v>44307.424259259256</v>
      </c>
      <c r="F406" t="s">
        <v>17</v>
      </c>
      <c r="G406" t="s">
        <v>36</v>
      </c>
      <c r="H406" s="1">
        <v>44307.375</v>
      </c>
      <c r="I406" s="1">
        <v>44307.489583333336</v>
      </c>
      <c r="J406" s="4">
        <f t="shared" si="6"/>
        <v>0.11458333333575865</v>
      </c>
      <c r="K406" t="s">
        <v>197</v>
      </c>
      <c r="M406">
        <v>0</v>
      </c>
      <c r="N406" s="6">
        <v>2.3032407407407407E-3</v>
      </c>
      <c r="Q406" s="2" t="s">
        <v>19</v>
      </c>
    </row>
    <row r="407" spans="1:17" ht="68" x14ac:dyDescent="0.2">
      <c r="A407" t="s">
        <v>189</v>
      </c>
      <c r="B407" t="s">
        <v>90</v>
      </c>
      <c r="C407" t="s">
        <v>91</v>
      </c>
      <c r="D407" s="3">
        <v>44307</v>
      </c>
      <c r="E407" s="1">
        <v>44307.489004629628</v>
      </c>
      <c r="F407" t="s">
        <v>17</v>
      </c>
      <c r="G407" t="s">
        <v>36</v>
      </c>
      <c r="H407" s="1">
        <v>44307.375</v>
      </c>
      <c r="I407" s="1">
        <v>44307.489583333336</v>
      </c>
      <c r="J407" s="4">
        <f t="shared" si="6"/>
        <v>0.11458333333575865</v>
      </c>
      <c r="K407" t="s">
        <v>197</v>
      </c>
      <c r="M407">
        <v>0</v>
      </c>
      <c r="N407" s="6">
        <v>1.8865740740740742E-3</v>
      </c>
      <c r="Q407" s="2" t="s">
        <v>19</v>
      </c>
    </row>
    <row r="408" spans="1:17" ht="68" x14ac:dyDescent="0.2">
      <c r="A408" t="s">
        <v>189</v>
      </c>
      <c r="B408" t="s">
        <v>90</v>
      </c>
      <c r="C408" t="s">
        <v>91</v>
      </c>
      <c r="D408" s="3">
        <v>44307</v>
      </c>
      <c r="E408" s="1">
        <v>44307.556851851848</v>
      </c>
      <c r="F408" t="s">
        <v>17</v>
      </c>
      <c r="G408" t="s">
        <v>37</v>
      </c>
      <c r="H408" s="1">
        <v>44307.53125</v>
      </c>
      <c r="I408" s="1">
        <v>44307.666666666664</v>
      </c>
      <c r="J408" s="4">
        <f t="shared" si="6"/>
        <v>0.13541666666424135</v>
      </c>
      <c r="K408" t="s">
        <v>195</v>
      </c>
      <c r="M408">
        <v>0</v>
      </c>
      <c r="N408" s="6">
        <v>1.8518518518518518E-4</v>
      </c>
      <c r="Q408" s="2" t="s">
        <v>19</v>
      </c>
    </row>
    <row r="409" spans="1:17" ht="68" x14ac:dyDescent="0.2">
      <c r="A409" t="s">
        <v>189</v>
      </c>
      <c r="B409" t="s">
        <v>90</v>
      </c>
      <c r="C409" t="s">
        <v>91</v>
      </c>
      <c r="D409" s="3">
        <v>44308</v>
      </c>
      <c r="E409" s="1">
        <v>44308.503993055558</v>
      </c>
      <c r="F409" t="s">
        <v>17</v>
      </c>
      <c r="G409" t="s">
        <v>55</v>
      </c>
      <c r="H409" s="1">
        <v>44308.375</v>
      </c>
      <c r="I409" s="1">
        <v>44308.510416666664</v>
      </c>
      <c r="J409" s="4">
        <f t="shared" si="6"/>
        <v>0.13541666666424135</v>
      </c>
      <c r="K409" t="s">
        <v>200</v>
      </c>
      <c r="M409">
        <v>0</v>
      </c>
      <c r="N409" s="6">
        <v>0</v>
      </c>
      <c r="Q409" s="2" t="s">
        <v>19</v>
      </c>
    </row>
    <row r="410" spans="1:17" ht="68" x14ac:dyDescent="0.2">
      <c r="A410" t="s">
        <v>189</v>
      </c>
      <c r="B410" t="s">
        <v>90</v>
      </c>
      <c r="C410" t="s">
        <v>91</v>
      </c>
      <c r="D410" s="3">
        <v>44308</v>
      </c>
      <c r="E410" s="1">
        <v>44308.664467592593</v>
      </c>
      <c r="F410" t="s">
        <v>17</v>
      </c>
      <c r="G410" t="s">
        <v>56</v>
      </c>
      <c r="H410" s="1">
        <v>44308.541666666664</v>
      </c>
      <c r="I410" s="1">
        <v>44308.666666666664</v>
      </c>
      <c r="J410" s="4">
        <f t="shared" si="6"/>
        <v>0.125</v>
      </c>
      <c r="K410" t="s">
        <v>192</v>
      </c>
      <c r="M410">
        <v>0</v>
      </c>
      <c r="N410" s="6">
        <v>0</v>
      </c>
      <c r="Q410" s="2" t="s">
        <v>19</v>
      </c>
    </row>
    <row r="411" spans="1:17" ht="68" x14ac:dyDescent="0.2">
      <c r="A411" t="s">
        <v>189</v>
      </c>
      <c r="B411" t="s">
        <v>90</v>
      </c>
      <c r="C411" t="s">
        <v>91</v>
      </c>
      <c r="D411" s="3">
        <v>44309</v>
      </c>
      <c r="E411" s="1">
        <v>44309.492164351854</v>
      </c>
      <c r="F411" t="s">
        <v>17</v>
      </c>
      <c r="G411" t="s">
        <v>100</v>
      </c>
      <c r="H411" s="1">
        <v>44309.375</v>
      </c>
      <c r="I411" s="1">
        <v>44309.489583333336</v>
      </c>
      <c r="J411" s="4">
        <f t="shared" si="6"/>
        <v>0.11458333333575865</v>
      </c>
      <c r="K411" t="s">
        <v>222</v>
      </c>
      <c r="M411">
        <v>0</v>
      </c>
      <c r="N411" s="6">
        <v>7.0601851851851847E-4</v>
      </c>
      <c r="Q411" s="2" t="s">
        <v>19</v>
      </c>
    </row>
    <row r="412" spans="1:17" ht="68" x14ac:dyDescent="0.2">
      <c r="A412" t="s">
        <v>189</v>
      </c>
      <c r="B412" t="s">
        <v>90</v>
      </c>
      <c r="C412" t="s">
        <v>91</v>
      </c>
      <c r="D412" s="3">
        <v>44312</v>
      </c>
      <c r="E412" s="1">
        <v>44312.483506944445</v>
      </c>
      <c r="F412" t="s">
        <v>17</v>
      </c>
      <c r="G412" t="s">
        <v>44</v>
      </c>
      <c r="H412" s="1">
        <v>44312.375</v>
      </c>
      <c r="I412" s="1">
        <v>44312.510416666664</v>
      </c>
      <c r="J412" s="4">
        <f t="shared" si="6"/>
        <v>0.13541666666424135</v>
      </c>
      <c r="K412" t="s">
        <v>201</v>
      </c>
      <c r="M412">
        <v>0</v>
      </c>
      <c r="N412" s="6">
        <v>2.0092592592592592E-2</v>
      </c>
      <c r="Q412" s="2" t="s">
        <v>19</v>
      </c>
    </row>
    <row r="413" spans="1:17" ht="68" x14ac:dyDescent="0.2">
      <c r="A413" t="s">
        <v>189</v>
      </c>
      <c r="B413" t="s">
        <v>90</v>
      </c>
      <c r="C413" t="s">
        <v>91</v>
      </c>
      <c r="D413" s="3">
        <v>44312</v>
      </c>
      <c r="E413" s="1">
        <v>44312.486643518518</v>
      </c>
      <c r="F413" t="s">
        <v>17</v>
      </c>
      <c r="G413" t="s">
        <v>44</v>
      </c>
      <c r="H413" s="1">
        <v>44312.375</v>
      </c>
      <c r="I413" s="1">
        <v>44312.510416666664</v>
      </c>
      <c r="J413" s="4">
        <f t="shared" si="6"/>
        <v>0.13541666666424135</v>
      </c>
      <c r="K413" t="s">
        <v>201</v>
      </c>
      <c r="M413">
        <v>0</v>
      </c>
      <c r="N413" s="6">
        <v>3.0902777777777782E-3</v>
      </c>
      <c r="Q413" s="2" t="s">
        <v>19</v>
      </c>
    </row>
    <row r="414" spans="1:17" ht="68" x14ac:dyDescent="0.2">
      <c r="A414" t="s">
        <v>189</v>
      </c>
      <c r="B414" t="s">
        <v>90</v>
      </c>
      <c r="C414" t="s">
        <v>91</v>
      </c>
      <c r="D414" s="3">
        <v>44312</v>
      </c>
      <c r="E414" s="1">
        <v>44312.61990740741</v>
      </c>
      <c r="F414" t="s">
        <v>17</v>
      </c>
      <c r="G414" t="s">
        <v>57</v>
      </c>
      <c r="H414" s="1">
        <v>44312.53125</v>
      </c>
      <c r="I414" s="1">
        <v>44312.666666666664</v>
      </c>
      <c r="J414" s="4">
        <f t="shared" si="6"/>
        <v>0.13541666666424135</v>
      </c>
      <c r="K414" t="s">
        <v>195</v>
      </c>
      <c r="M414">
        <v>0</v>
      </c>
      <c r="N414" s="6">
        <v>3.0150462962962962E-2</v>
      </c>
      <c r="Q414" s="2" t="s">
        <v>19</v>
      </c>
    </row>
    <row r="415" spans="1:17" ht="68" x14ac:dyDescent="0.2">
      <c r="A415" t="s">
        <v>189</v>
      </c>
      <c r="B415" t="s">
        <v>90</v>
      </c>
      <c r="C415" t="s">
        <v>91</v>
      </c>
      <c r="D415" s="3">
        <v>44312</v>
      </c>
      <c r="E415" s="1">
        <v>44312.633483796293</v>
      </c>
      <c r="F415" t="s">
        <v>17</v>
      </c>
      <c r="G415" t="s">
        <v>57</v>
      </c>
      <c r="H415" s="1">
        <v>44312.53125</v>
      </c>
      <c r="I415" s="1">
        <v>44312.666666666664</v>
      </c>
      <c r="J415" s="4">
        <f t="shared" si="6"/>
        <v>0.13541666666424135</v>
      </c>
      <c r="K415" t="s">
        <v>195</v>
      </c>
      <c r="M415">
        <v>0</v>
      </c>
      <c r="N415" s="6">
        <v>3.1250000000000001E-4</v>
      </c>
      <c r="Q415" s="2" t="s">
        <v>19</v>
      </c>
    </row>
    <row r="416" spans="1:17" ht="68" x14ac:dyDescent="0.2">
      <c r="A416" t="s">
        <v>189</v>
      </c>
      <c r="B416" t="s">
        <v>90</v>
      </c>
      <c r="C416" t="s">
        <v>91</v>
      </c>
      <c r="D416" s="3">
        <v>44312</v>
      </c>
      <c r="E416" s="1">
        <v>44312.649988425925</v>
      </c>
      <c r="F416" t="s">
        <v>17</v>
      </c>
      <c r="G416" t="s">
        <v>57</v>
      </c>
      <c r="H416" s="1">
        <v>44312.53125</v>
      </c>
      <c r="I416" s="1">
        <v>44312.666666666664</v>
      </c>
      <c r="J416" s="4">
        <f t="shared" si="6"/>
        <v>0.13541666666424135</v>
      </c>
      <c r="K416" t="s">
        <v>195</v>
      </c>
      <c r="M416">
        <v>0</v>
      </c>
      <c r="N416" s="6">
        <v>0</v>
      </c>
      <c r="Q416" s="2" t="s">
        <v>19</v>
      </c>
    </row>
    <row r="417" spans="1:17" ht="68" x14ac:dyDescent="0.2">
      <c r="A417" t="s">
        <v>189</v>
      </c>
      <c r="B417" t="s">
        <v>90</v>
      </c>
      <c r="C417" t="s">
        <v>91</v>
      </c>
      <c r="D417" s="3">
        <v>44313</v>
      </c>
      <c r="E417" s="1">
        <v>44313.429340277777</v>
      </c>
      <c r="F417" t="s">
        <v>17</v>
      </c>
      <c r="G417" t="s">
        <v>55</v>
      </c>
      <c r="H417" s="1">
        <v>44313.375</v>
      </c>
      <c r="I417" s="1">
        <v>44313.489583333336</v>
      </c>
      <c r="J417" s="4">
        <f t="shared" si="6"/>
        <v>0.11458333333575865</v>
      </c>
      <c r="K417" t="s">
        <v>200</v>
      </c>
      <c r="M417">
        <v>0</v>
      </c>
      <c r="N417" s="6">
        <v>6.5509259259259262E-3</v>
      </c>
      <c r="Q417" s="2" t="s">
        <v>19</v>
      </c>
    </row>
    <row r="418" spans="1:17" ht="68" x14ac:dyDescent="0.2">
      <c r="A418" t="s">
        <v>189</v>
      </c>
      <c r="B418" t="s">
        <v>90</v>
      </c>
      <c r="C418" t="s">
        <v>91</v>
      </c>
      <c r="D418" s="3">
        <v>44313</v>
      </c>
      <c r="E418" s="1">
        <v>44313.438090277778</v>
      </c>
      <c r="F418" t="s">
        <v>17</v>
      </c>
      <c r="G418" t="s">
        <v>55</v>
      </c>
      <c r="H418" s="1">
        <v>44313.375</v>
      </c>
      <c r="I418" s="1">
        <v>44313.489583333336</v>
      </c>
      <c r="J418" s="4">
        <f t="shared" si="6"/>
        <v>0.11458333333575865</v>
      </c>
      <c r="K418" t="s">
        <v>200</v>
      </c>
      <c r="M418">
        <v>0</v>
      </c>
      <c r="N418" s="6">
        <v>2.0486111111111113E-3</v>
      </c>
      <c r="Q418" s="2" t="s">
        <v>19</v>
      </c>
    </row>
    <row r="419" spans="1:17" ht="68" x14ac:dyDescent="0.2">
      <c r="A419" t="s">
        <v>189</v>
      </c>
      <c r="B419" t="s">
        <v>90</v>
      </c>
      <c r="C419" t="s">
        <v>91</v>
      </c>
      <c r="D419" s="3">
        <v>44313</v>
      </c>
      <c r="E419" s="1">
        <v>44313.469513888886</v>
      </c>
      <c r="F419" t="s">
        <v>17</v>
      </c>
      <c r="G419" t="s">
        <v>55</v>
      </c>
      <c r="H419" s="1">
        <v>44313.375</v>
      </c>
      <c r="I419" s="1">
        <v>44313.489583333336</v>
      </c>
      <c r="J419" s="4">
        <f t="shared" si="6"/>
        <v>0.11458333333575865</v>
      </c>
      <c r="K419" t="s">
        <v>200</v>
      </c>
      <c r="M419">
        <v>0</v>
      </c>
      <c r="N419" s="6">
        <v>1.1319444444444444E-2</v>
      </c>
      <c r="Q419" s="2" t="s">
        <v>19</v>
      </c>
    </row>
    <row r="420" spans="1:17" ht="68" x14ac:dyDescent="0.2">
      <c r="A420" t="s">
        <v>189</v>
      </c>
      <c r="B420" t="s">
        <v>90</v>
      </c>
      <c r="C420" t="s">
        <v>91</v>
      </c>
      <c r="D420" s="3">
        <v>44313</v>
      </c>
      <c r="E420" s="1">
        <v>44313.482754629629</v>
      </c>
      <c r="F420" t="s">
        <v>17</v>
      </c>
      <c r="G420" t="s">
        <v>55</v>
      </c>
      <c r="H420" s="1">
        <v>44313.375</v>
      </c>
      <c r="I420" s="1">
        <v>44313.489583333336</v>
      </c>
      <c r="J420" s="4">
        <f t="shared" si="6"/>
        <v>0.11458333333575865</v>
      </c>
      <c r="K420" t="s">
        <v>200</v>
      </c>
      <c r="M420">
        <v>0</v>
      </c>
      <c r="N420" s="6">
        <v>1.315972222222222E-2</v>
      </c>
      <c r="Q420" s="2" t="s">
        <v>19</v>
      </c>
    </row>
    <row r="421" spans="1:17" ht="68" x14ac:dyDescent="0.2">
      <c r="A421" t="s">
        <v>189</v>
      </c>
      <c r="B421" t="s">
        <v>90</v>
      </c>
      <c r="C421" t="s">
        <v>91</v>
      </c>
      <c r="D421" s="3">
        <v>44313</v>
      </c>
      <c r="E421" s="1">
        <v>44313.487511574072</v>
      </c>
      <c r="F421" t="s">
        <v>17</v>
      </c>
      <c r="G421" t="s">
        <v>55</v>
      </c>
      <c r="H421" s="1">
        <v>44313.375</v>
      </c>
      <c r="I421" s="1">
        <v>44313.489583333336</v>
      </c>
      <c r="J421" s="4">
        <f t="shared" si="6"/>
        <v>0.11458333333575865</v>
      </c>
      <c r="K421" t="s">
        <v>200</v>
      </c>
      <c r="M421">
        <v>0</v>
      </c>
      <c r="N421" s="6">
        <v>5.4398148148148144E-4</v>
      </c>
      <c r="Q421" s="2" t="s">
        <v>19</v>
      </c>
    </row>
    <row r="422" spans="1:17" ht="68" x14ac:dyDescent="0.2">
      <c r="A422" t="s">
        <v>189</v>
      </c>
      <c r="B422" t="s">
        <v>90</v>
      </c>
      <c r="C422" t="s">
        <v>91</v>
      </c>
      <c r="D422" s="3">
        <v>44313</v>
      </c>
      <c r="E422" s="1">
        <v>44313.539456018516</v>
      </c>
      <c r="F422" t="s">
        <v>17</v>
      </c>
      <c r="G422" t="s">
        <v>37</v>
      </c>
      <c r="H422" s="1">
        <v>44313.53125</v>
      </c>
      <c r="I422" s="1">
        <v>44313.541666666664</v>
      </c>
      <c r="J422" s="4">
        <f t="shared" si="6"/>
        <v>1.0416666664241347E-2</v>
      </c>
      <c r="K422" t="s">
        <v>202</v>
      </c>
      <c r="M422">
        <v>0</v>
      </c>
      <c r="N422" s="6">
        <v>0</v>
      </c>
      <c r="Q422" s="2" t="s">
        <v>19</v>
      </c>
    </row>
    <row r="423" spans="1:17" ht="68" x14ac:dyDescent="0.2">
      <c r="A423" t="s">
        <v>189</v>
      </c>
      <c r="B423" t="s">
        <v>90</v>
      </c>
      <c r="C423" t="s">
        <v>91</v>
      </c>
      <c r="D423" s="3">
        <v>44313</v>
      </c>
      <c r="E423" s="1">
        <v>44313.664687500001</v>
      </c>
      <c r="F423" t="s">
        <v>17</v>
      </c>
      <c r="G423" t="s">
        <v>58</v>
      </c>
      <c r="H423" s="1">
        <v>44313.541666666664</v>
      </c>
      <c r="I423" s="1">
        <v>44313.666666666664</v>
      </c>
      <c r="J423" s="4">
        <f t="shared" si="6"/>
        <v>0.125</v>
      </c>
      <c r="K423" t="s">
        <v>192</v>
      </c>
      <c r="M423">
        <v>0</v>
      </c>
      <c r="N423" s="6">
        <v>0</v>
      </c>
      <c r="Q423" s="2" t="s">
        <v>19</v>
      </c>
    </row>
    <row r="424" spans="1:17" ht="68" x14ac:dyDescent="0.2">
      <c r="A424" t="s">
        <v>189</v>
      </c>
      <c r="B424" t="s">
        <v>90</v>
      </c>
      <c r="C424" t="s">
        <v>91</v>
      </c>
      <c r="D424" s="3">
        <v>44314</v>
      </c>
      <c r="E424" s="1">
        <v>44314.400949074072</v>
      </c>
      <c r="F424" t="s">
        <v>17</v>
      </c>
      <c r="G424" t="s">
        <v>53</v>
      </c>
      <c r="H424" s="1">
        <v>44314.375</v>
      </c>
      <c r="I424" s="1">
        <v>44314.489583333336</v>
      </c>
      <c r="J424" s="4">
        <f t="shared" si="6"/>
        <v>0.11458333333575865</v>
      </c>
      <c r="K424" t="s">
        <v>203</v>
      </c>
      <c r="M424">
        <v>0</v>
      </c>
      <c r="N424" s="6">
        <v>3.0324074074074073E-3</v>
      </c>
      <c r="Q424" s="2" t="s">
        <v>19</v>
      </c>
    </row>
    <row r="425" spans="1:17" ht="68" x14ac:dyDescent="0.2">
      <c r="A425" t="s">
        <v>189</v>
      </c>
      <c r="B425" t="s">
        <v>90</v>
      </c>
      <c r="C425" t="s">
        <v>91</v>
      </c>
      <c r="D425" s="3">
        <v>44314</v>
      </c>
      <c r="E425" s="1">
        <v>44314.435601851852</v>
      </c>
      <c r="F425" t="s">
        <v>17</v>
      </c>
      <c r="G425" t="s">
        <v>53</v>
      </c>
      <c r="H425" s="1">
        <v>44314.375</v>
      </c>
      <c r="I425" s="1">
        <v>44314.489583333336</v>
      </c>
      <c r="J425" s="4">
        <f t="shared" si="6"/>
        <v>0.11458333333575865</v>
      </c>
      <c r="K425" t="s">
        <v>203</v>
      </c>
      <c r="M425">
        <v>0</v>
      </c>
      <c r="N425" s="6">
        <v>4.2129629629629626E-3</v>
      </c>
      <c r="Q425" s="2" t="s">
        <v>19</v>
      </c>
    </row>
    <row r="426" spans="1:17" ht="68" x14ac:dyDescent="0.2">
      <c r="A426" t="s">
        <v>189</v>
      </c>
      <c r="B426" t="s">
        <v>90</v>
      </c>
      <c r="C426" t="s">
        <v>91</v>
      </c>
      <c r="D426" s="3">
        <v>44314</v>
      </c>
      <c r="E426" s="1">
        <v>44314.492210648146</v>
      </c>
      <c r="F426" t="s">
        <v>17</v>
      </c>
      <c r="G426" t="s">
        <v>53</v>
      </c>
      <c r="H426" s="1">
        <v>44314.375</v>
      </c>
      <c r="I426" s="1">
        <v>44314.489583333336</v>
      </c>
      <c r="J426" s="4">
        <f t="shared" si="6"/>
        <v>0.11458333333575865</v>
      </c>
      <c r="K426" t="s">
        <v>203</v>
      </c>
      <c r="M426">
        <v>0</v>
      </c>
      <c r="N426" s="6">
        <v>1.2743055555555556E-2</v>
      </c>
      <c r="Q426" s="2" t="s">
        <v>19</v>
      </c>
    </row>
    <row r="427" spans="1:17" ht="68" x14ac:dyDescent="0.2">
      <c r="A427" t="s">
        <v>189</v>
      </c>
      <c r="B427" t="s">
        <v>90</v>
      </c>
      <c r="C427" t="s">
        <v>91</v>
      </c>
      <c r="D427" s="3">
        <v>44314</v>
      </c>
      <c r="E427" s="1">
        <v>44314.497314814813</v>
      </c>
      <c r="F427" t="s">
        <v>17</v>
      </c>
      <c r="G427" t="s">
        <v>53</v>
      </c>
      <c r="H427" s="1">
        <v>44314.375</v>
      </c>
      <c r="I427" s="1">
        <v>44314.489583333336</v>
      </c>
      <c r="J427" s="4">
        <f t="shared" si="6"/>
        <v>0.11458333333575865</v>
      </c>
      <c r="K427" t="s">
        <v>203</v>
      </c>
      <c r="M427">
        <v>0</v>
      </c>
      <c r="N427" s="6">
        <v>0</v>
      </c>
      <c r="Q427" s="2" t="s">
        <v>19</v>
      </c>
    </row>
    <row r="428" spans="1:17" ht="68" x14ac:dyDescent="0.2">
      <c r="A428" t="s">
        <v>189</v>
      </c>
      <c r="B428" t="s">
        <v>90</v>
      </c>
      <c r="C428" t="s">
        <v>91</v>
      </c>
      <c r="D428" s="3">
        <v>44314</v>
      </c>
      <c r="E428" s="1">
        <v>44314.637731481482</v>
      </c>
      <c r="F428" t="s">
        <v>17</v>
      </c>
      <c r="G428" t="s">
        <v>59</v>
      </c>
      <c r="H428" s="1">
        <v>44314.53125</v>
      </c>
      <c r="I428" s="1">
        <v>44314.666666666664</v>
      </c>
      <c r="J428" s="4">
        <f t="shared" si="6"/>
        <v>0.13541666666424135</v>
      </c>
      <c r="K428" t="s">
        <v>195</v>
      </c>
      <c r="M428">
        <v>0</v>
      </c>
      <c r="N428" s="6">
        <v>2.1759259259259258E-3</v>
      </c>
      <c r="Q428" s="2" t="s">
        <v>19</v>
      </c>
    </row>
    <row r="429" spans="1:17" ht="68" x14ac:dyDescent="0.2">
      <c r="A429" t="s">
        <v>189</v>
      </c>
      <c r="B429" t="s">
        <v>90</v>
      </c>
      <c r="C429" t="s">
        <v>91</v>
      </c>
      <c r="D429" s="3">
        <v>44314</v>
      </c>
      <c r="E429" s="1">
        <v>44314.638819444444</v>
      </c>
      <c r="F429" t="s">
        <v>17</v>
      </c>
      <c r="G429" t="s">
        <v>59</v>
      </c>
      <c r="H429" s="1">
        <v>44314.53125</v>
      </c>
      <c r="I429" s="1">
        <v>44314.666666666664</v>
      </c>
      <c r="J429" s="4">
        <f t="shared" si="6"/>
        <v>0.13541666666424135</v>
      </c>
      <c r="K429" t="s">
        <v>195</v>
      </c>
      <c r="M429">
        <v>0</v>
      </c>
      <c r="N429" s="6">
        <v>6.2500000000000001E-4</v>
      </c>
      <c r="Q429" s="2" t="s">
        <v>19</v>
      </c>
    </row>
    <row r="430" spans="1:17" ht="68" x14ac:dyDescent="0.2">
      <c r="A430" t="s">
        <v>189</v>
      </c>
      <c r="B430" t="s">
        <v>90</v>
      </c>
      <c r="C430" t="s">
        <v>91</v>
      </c>
      <c r="D430" s="3">
        <v>44314</v>
      </c>
      <c r="E430" s="1">
        <v>44314.63962962963</v>
      </c>
      <c r="F430" t="s">
        <v>17</v>
      </c>
      <c r="G430" t="s">
        <v>59</v>
      </c>
      <c r="H430" s="1">
        <v>44314.53125</v>
      </c>
      <c r="I430" s="1">
        <v>44314.666666666664</v>
      </c>
      <c r="J430" s="4">
        <f t="shared" si="6"/>
        <v>0.13541666666424135</v>
      </c>
      <c r="K430" t="s">
        <v>195</v>
      </c>
      <c r="M430">
        <v>0</v>
      </c>
      <c r="N430" s="6">
        <v>2.199074074074074E-4</v>
      </c>
      <c r="Q430" s="2" t="s">
        <v>19</v>
      </c>
    </row>
    <row r="431" spans="1:17" ht="68" x14ac:dyDescent="0.2">
      <c r="A431" t="s">
        <v>189</v>
      </c>
      <c r="B431" t="s">
        <v>90</v>
      </c>
      <c r="C431" t="s">
        <v>91</v>
      </c>
      <c r="D431" s="3">
        <v>44314</v>
      </c>
      <c r="E431" s="1">
        <v>44314.646435185183</v>
      </c>
      <c r="F431" t="s">
        <v>17</v>
      </c>
      <c r="G431" t="s">
        <v>59</v>
      </c>
      <c r="H431" s="1">
        <v>44314.53125</v>
      </c>
      <c r="I431" s="1">
        <v>44314.666666666664</v>
      </c>
      <c r="J431" s="4">
        <f t="shared" si="6"/>
        <v>0.13541666666424135</v>
      </c>
      <c r="K431" t="s">
        <v>195</v>
      </c>
      <c r="M431">
        <v>0</v>
      </c>
      <c r="N431" s="6">
        <v>6.6087962962962966E-3</v>
      </c>
      <c r="Q431" s="2" t="s">
        <v>19</v>
      </c>
    </row>
    <row r="432" spans="1:17" ht="68" x14ac:dyDescent="0.2">
      <c r="A432" t="s">
        <v>189</v>
      </c>
      <c r="B432" t="s">
        <v>90</v>
      </c>
      <c r="C432" t="s">
        <v>91</v>
      </c>
      <c r="D432" s="3">
        <v>44314</v>
      </c>
      <c r="E432" s="1">
        <v>44314.65960648148</v>
      </c>
      <c r="F432" t="s">
        <v>17</v>
      </c>
      <c r="G432" t="s">
        <v>59</v>
      </c>
      <c r="H432" s="1">
        <v>44314.53125</v>
      </c>
      <c r="I432" s="1">
        <v>44314.666666666664</v>
      </c>
      <c r="J432" s="4">
        <f t="shared" si="6"/>
        <v>0.13541666666424135</v>
      </c>
      <c r="K432" t="s">
        <v>195</v>
      </c>
      <c r="M432">
        <v>0</v>
      </c>
      <c r="N432" s="6">
        <v>0</v>
      </c>
      <c r="Q432" s="2" t="s">
        <v>19</v>
      </c>
    </row>
    <row r="433" spans="1:17" ht="68" x14ac:dyDescent="0.2">
      <c r="A433" t="s">
        <v>189</v>
      </c>
      <c r="B433" t="s">
        <v>90</v>
      </c>
      <c r="C433" t="s">
        <v>91</v>
      </c>
      <c r="D433" s="3">
        <v>44315</v>
      </c>
      <c r="E433" s="1">
        <v>44315.408819444441</v>
      </c>
      <c r="F433" t="s">
        <v>17</v>
      </c>
      <c r="G433" t="s">
        <v>43</v>
      </c>
      <c r="H433" s="1">
        <v>44315.375</v>
      </c>
      <c r="I433" s="1">
        <v>44315.489583333336</v>
      </c>
      <c r="J433" s="4">
        <f t="shared" si="6"/>
        <v>0.11458333333575865</v>
      </c>
      <c r="K433" t="s">
        <v>200</v>
      </c>
      <c r="M433">
        <v>0</v>
      </c>
      <c r="N433" s="6">
        <v>1.3773148148148147E-3</v>
      </c>
      <c r="Q433" s="2" t="s">
        <v>19</v>
      </c>
    </row>
    <row r="434" spans="1:17" ht="68" x14ac:dyDescent="0.2">
      <c r="A434" t="s">
        <v>189</v>
      </c>
      <c r="B434" t="s">
        <v>90</v>
      </c>
      <c r="C434" t="s">
        <v>91</v>
      </c>
      <c r="D434" s="3">
        <v>44315</v>
      </c>
      <c r="E434" s="1">
        <v>44315.460462962961</v>
      </c>
      <c r="F434" t="s">
        <v>17</v>
      </c>
      <c r="G434" t="s">
        <v>43</v>
      </c>
      <c r="H434" s="1">
        <v>44315.375</v>
      </c>
      <c r="I434" s="1">
        <v>44315.489583333336</v>
      </c>
      <c r="J434" s="4">
        <f t="shared" si="6"/>
        <v>0.11458333333575865</v>
      </c>
      <c r="K434" t="s">
        <v>200</v>
      </c>
      <c r="M434">
        <v>0</v>
      </c>
      <c r="N434" s="6">
        <v>1.0069444444444444E-3</v>
      </c>
      <c r="Q434" s="2" t="s">
        <v>19</v>
      </c>
    </row>
    <row r="435" spans="1:17" ht="68" x14ac:dyDescent="0.2">
      <c r="A435" t="s">
        <v>189</v>
      </c>
      <c r="B435" t="s">
        <v>90</v>
      </c>
      <c r="C435" t="s">
        <v>91</v>
      </c>
      <c r="D435" s="3">
        <v>44315</v>
      </c>
      <c r="E435" s="1">
        <v>44315.464108796295</v>
      </c>
      <c r="F435" t="s">
        <v>17</v>
      </c>
      <c r="G435" t="s">
        <v>43</v>
      </c>
      <c r="H435" s="1">
        <v>44315.375</v>
      </c>
      <c r="I435" s="1">
        <v>44315.489583333336</v>
      </c>
      <c r="J435" s="4">
        <f t="shared" si="6"/>
        <v>0.11458333333575865</v>
      </c>
      <c r="K435" t="s">
        <v>200</v>
      </c>
      <c r="M435">
        <v>0</v>
      </c>
      <c r="N435" s="6">
        <v>3.5879629629629629E-3</v>
      </c>
      <c r="Q435" s="2" t="s">
        <v>19</v>
      </c>
    </row>
    <row r="436" spans="1:17" ht="68" x14ac:dyDescent="0.2">
      <c r="A436" t="s">
        <v>189</v>
      </c>
      <c r="B436" t="s">
        <v>90</v>
      </c>
      <c r="C436" t="s">
        <v>91</v>
      </c>
      <c r="D436" s="3">
        <v>44315</v>
      </c>
      <c r="E436" s="1">
        <v>44315.4846412037</v>
      </c>
      <c r="F436" t="s">
        <v>17</v>
      </c>
      <c r="G436" t="s">
        <v>43</v>
      </c>
      <c r="H436" s="1">
        <v>44315.375</v>
      </c>
      <c r="I436" s="1">
        <v>44315.489583333336</v>
      </c>
      <c r="J436" s="4">
        <f t="shared" si="6"/>
        <v>0.11458333333575865</v>
      </c>
      <c r="K436" t="s">
        <v>200</v>
      </c>
      <c r="M436">
        <v>0</v>
      </c>
      <c r="N436" s="6">
        <v>0</v>
      </c>
      <c r="Q436" s="2" t="s">
        <v>19</v>
      </c>
    </row>
    <row r="437" spans="1:17" ht="68" x14ac:dyDescent="0.2">
      <c r="A437" t="s">
        <v>189</v>
      </c>
      <c r="B437" t="s">
        <v>90</v>
      </c>
      <c r="C437" t="s">
        <v>91</v>
      </c>
      <c r="D437" s="3">
        <v>44315</v>
      </c>
      <c r="E437" s="1">
        <v>44315.542430555557</v>
      </c>
      <c r="F437" t="s">
        <v>17</v>
      </c>
      <c r="G437" t="s">
        <v>35</v>
      </c>
      <c r="H437" s="1">
        <v>44315.53125</v>
      </c>
      <c r="I437" s="1">
        <v>44315.541666666664</v>
      </c>
      <c r="J437" s="4">
        <f t="shared" si="6"/>
        <v>1.0416666664241347E-2</v>
      </c>
      <c r="K437" t="s">
        <v>202</v>
      </c>
      <c r="M437">
        <v>0</v>
      </c>
      <c r="N437" s="6">
        <v>0</v>
      </c>
      <c r="Q437" s="2" t="s">
        <v>19</v>
      </c>
    </row>
    <row r="438" spans="1:17" ht="68" x14ac:dyDescent="0.2">
      <c r="A438" t="s">
        <v>189</v>
      </c>
      <c r="B438" t="s">
        <v>90</v>
      </c>
      <c r="C438" t="s">
        <v>91</v>
      </c>
      <c r="D438" s="3">
        <v>44315</v>
      </c>
      <c r="E438" s="1">
        <v>44315.648796296293</v>
      </c>
      <c r="F438" t="s">
        <v>17</v>
      </c>
      <c r="G438" t="s">
        <v>60</v>
      </c>
      <c r="H438" s="1">
        <v>44315.541666666664</v>
      </c>
      <c r="I438" s="1">
        <v>44315.666666666664</v>
      </c>
      <c r="J438" s="4">
        <f t="shared" si="6"/>
        <v>0.125</v>
      </c>
      <c r="K438" t="s">
        <v>192</v>
      </c>
      <c r="M438">
        <v>0</v>
      </c>
      <c r="N438" s="6">
        <v>8.449074074074075E-4</v>
      </c>
      <c r="Q438" s="2" t="s">
        <v>19</v>
      </c>
    </row>
    <row r="439" spans="1:17" ht="68" x14ac:dyDescent="0.2">
      <c r="A439" t="s">
        <v>189</v>
      </c>
      <c r="B439" t="s">
        <v>90</v>
      </c>
      <c r="C439" t="s">
        <v>91</v>
      </c>
      <c r="D439" s="3">
        <v>44316</v>
      </c>
      <c r="E439" s="1">
        <v>44316.415937500002</v>
      </c>
      <c r="F439" t="s">
        <v>17</v>
      </c>
      <c r="G439" t="s">
        <v>61</v>
      </c>
      <c r="H439" s="1">
        <v>44316.375</v>
      </c>
      <c r="I439" s="1">
        <v>44316.489583333336</v>
      </c>
      <c r="J439" s="4">
        <f t="shared" si="6"/>
        <v>0.11458333333575865</v>
      </c>
      <c r="K439" t="s">
        <v>204</v>
      </c>
      <c r="M439">
        <v>0</v>
      </c>
      <c r="N439" s="6">
        <v>1.4305555555555557E-2</v>
      </c>
      <c r="Q439" s="2" t="s">
        <v>19</v>
      </c>
    </row>
    <row r="440" spans="1:17" ht="68" x14ac:dyDescent="0.2">
      <c r="A440" t="s">
        <v>189</v>
      </c>
      <c r="B440" t="s">
        <v>90</v>
      </c>
      <c r="C440" t="s">
        <v>91</v>
      </c>
      <c r="D440" s="3">
        <v>44316</v>
      </c>
      <c r="E440" s="1">
        <v>44316.417523148149</v>
      </c>
      <c r="F440" t="s">
        <v>17</v>
      </c>
      <c r="G440" t="s">
        <v>61</v>
      </c>
      <c r="H440" s="1">
        <v>44316.375</v>
      </c>
      <c r="I440" s="1">
        <v>44316.489583333336</v>
      </c>
      <c r="J440" s="4">
        <f t="shared" si="6"/>
        <v>0.11458333333575865</v>
      </c>
      <c r="K440" t="s">
        <v>204</v>
      </c>
      <c r="M440">
        <v>0</v>
      </c>
      <c r="N440" s="6">
        <v>1.5277777777777779E-3</v>
      </c>
      <c r="Q440" s="2" t="s">
        <v>19</v>
      </c>
    </row>
    <row r="441" spans="1:17" ht="68" x14ac:dyDescent="0.2">
      <c r="A441" t="s">
        <v>189</v>
      </c>
      <c r="B441" t="s">
        <v>90</v>
      </c>
      <c r="C441" t="s">
        <v>91</v>
      </c>
      <c r="D441" s="3">
        <v>44316</v>
      </c>
      <c r="E441" s="1">
        <v>44316.452523148146</v>
      </c>
      <c r="F441" t="s">
        <v>17</v>
      </c>
      <c r="G441" t="s">
        <v>61</v>
      </c>
      <c r="H441" s="1">
        <v>44316.375</v>
      </c>
      <c r="I441" s="1">
        <v>44316.489583333336</v>
      </c>
      <c r="J441" s="4">
        <f t="shared" si="6"/>
        <v>0.11458333333575865</v>
      </c>
      <c r="K441" t="s">
        <v>204</v>
      </c>
      <c r="M441">
        <v>0</v>
      </c>
      <c r="N441" s="6">
        <v>6.8287037037037025E-4</v>
      </c>
      <c r="Q441" s="2" t="s">
        <v>19</v>
      </c>
    </row>
    <row r="442" spans="1:17" ht="68" x14ac:dyDescent="0.2">
      <c r="A442" t="s">
        <v>189</v>
      </c>
      <c r="B442" t="s">
        <v>90</v>
      </c>
      <c r="C442" t="s">
        <v>91</v>
      </c>
      <c r="D442" s="3">
        <v>44316</v>
      </c>
      <c r="E442" s="1">
        <v>44316.483206018522</v>
      </c>
      <c r="F442" t="s">
        <v>17</v>
      </c>
      <c r="G442" t="s">
        <v>61</v>
      </c>
      <c r="H442" s="1">
        <v>44316.375</v>
      </c>
      <c r="I442" s="1">
        <v>44316.489583333336</v>
      </c>
      <c r="J442" s="4">
        <f t="shared" si="6"/>
        <v>0.11458333333575865</v>
      </c>
      <c r="K442" t="s">
        <v>204</v>
      </c>
      <c r="M442">
        <v>0</v>
      </c>
      <c r="N442" s="6">
        <v>6.2500000000000001E-4</v>
      </c>
      <c r="Q442" s="2" t="s">
        <v>19</v>
      </c>
    </row>
    <row r="443" spans="1:17" ht="68" x14ac:dyDescent="0.2">
      <c r="A443" t="s">
        <v>189</v>
      </c>
      <c r="B443" t="s">
        <v>90</v>
      </c>
      <c r="C443" t="s">
        <v>91</v>
      </c>
      <c r="D443" s="3">
        <v>44316</v>
      </c>
      <c r="E443" s="1">
        <v>44316.562175925923</v>
      </c>
      <c r="F443" t="s">
        <v>17</v>
      </c>
      <c r="G443" t="s">
        <v>62</v>
      </c>
      <c r="H443" s="1">
        <v>44316.510416666664</v>
      </c>
      <c r="I443" s="1">
        <v>44316.65625</v>
      </c>
      <c r="J443" s="4">
        <f t="shared" si="6"/>
        <v>0.14583333333575865</v>
      </c>
      <c r="K443" t="s">
        <v>195</v>
      </c>
      <c r="M443">
        <v>0</v>
      </c>
      <c r="N443" s="6">
        <v>5.4398148148148144E-4</v>
      </c>
      <c r="Q443" s="2" t="s">
        <v>19</v>
      </c>
    </row>
    <row r="444" spans="1:17" ht="68" x14ac:dyDescent="0.2">
      <c r="A444" t="s">
        <v>189</v>
      </c>
      <c r="B444" t="s">
        <v>90</v>
      </c>
      <c r="C444" t="s">
        <v>91</v>
      </c>
      <c r="D444" s="3">
        <v>44316</v>
      </c>
      <c r="E444" s="1">
        <v>44316.56287037037</v>
      </c>
      <c r="F444" t="s">
        <v>17</v>
      </c>
      <c r="G444" t="s">
        <v>62</v>
      </c>
      <c r="H444" s="1">
        <v>44316.510416666664</v>
      </c>
      <c r="I444" s="1">
        <v>44316.65625</v>
      </c>
      <c r="J444" s="4">
        <f t="shared" si="6"/>
        <v>0.14583333333575865</v>
      </c>
      <c r="K444" t="s">
        <v>195</v>
      </c>
      <c r="M444">
        <v>0</v>
      </c>
      <c r="N444" s="6">
        <v>1.5046296296296297E-4</v>
      </c>
      <c r="Q444" s="2" t="s">
        <v>19</v>
      </c>
    </row>
    <row r="445" spans="1:17" ht="68" x14ac:dyDescent="0.2">
      <c r="A445" t="s">
        <v>189</v>
      </c>
      <c r="B445" t="s">
        <v>90</v>
      </c>
      <c r="C445" t="s">
        <v>91</v>
      </c>
      <c r="D445" s="3">
        <v>44316</v>
      </c>
      <c r="E445" s="1">
        <v>44316.625347222223</v>
      </c>
      <c r="F445" t="s">
        <v>17</v>
      </c>
      <c r="G445" t="s">
        <v>62</v>
      </c>
      <c r="H445" s="1">
        <v>44316.510416666664</v>
      </c>
      <c r="I445" s="1">
        <v>44316.65625</v>
      </c>
      <c r="J445" s="4">
        <f t="shared" si="6"/>
        <v>0.14583333333575865</v>
      </c>
      <c r="K445" t="s">
        <v>195</v>
      </c>
      <c r="M445">
        <v>0</v>
      </c>
      <c r="N445" s="6">
        <v>5.7870370370370378E-4</v>
      </c>
      <c r="Q445" s="2" t="s">
        <v>19</v>
      </c>
    </row>
    <row r="446" spans="1:17" ht="68" x14ac:dyDescent="0.2">
      <c r="A446" t="s">
        <v>189</v>
      </c>
      <c r="B446" t="s">
        <v>90</v>
      </c>
      <c r="C446" t="s">
        <v>91</v>
      </c>
      <c r="D446" s="3">
        <v>44319</v>
      </c>
      <c r="E446" s="1">
        <v>44319.483819444446</v>
      </c>
      <c r="F446" t="s">
        <v>17</v>
      </c>
      <c r="G446" t="s">
        <v>63</v>
      </c>
      <c r="H446" s="1">
        <v>44319.385416666664</v>
      </c>
      <c r="I446" s="1">
        <v>44319.489583333336</v>
      </c>
      <c r="J446" s="4">
        <f t="shared" si="6"/>
        <v>0.10416666667151731</v>
      </c>
      <c r="K446" t="s">
        <v>199</v>
      </c>
      <c r="M446">
        <v>0</v>
      </c>
      <c r="N446" s="6">
        <v>0</v>
      </c>
      <c r="Q446" s="2" t="s">
        <v>19</v>
      </c>
    </row>
    <row r="447" spans="1:17" ht="68" x14ac:dyDescent="0.2">
      <c r="A447" t="s">
        <v>189</v>
      </c>
      <c r="B447" t="s">
        <v>90</v>
      </c>
      <c r="C447" t="s">
        <v>91</v>
      </c>
      <c r="D447" s="3">
        <v>44319</v>
      </c>
      <c r="E447" s="1">
        <v>44319.568206018521</v>
      </c>
      <c r="F447" t="s">
        <v>17</v>
      </c>
      <c r="G447" t="s">
        <v>45</v>
      </c>
      <c r="H447" s="1">
        <v>44319.53125</v>
      </c>
      <c r="I447" s="1">
        <v>44319.666666666664</v>
      </c>
      <c r="J447" s="4">
        <f t="shared" si="6"/>
        <v>0.13541666666424135</v>
      </c>
      <c r="K447" t="s">
        <v>195</v>
      </c>
      <c r="M447">
        <v>0</v>
      </c>
      <c r="N447" s="6">
        <v>2.9120370370370366E-2</v>
      </c>
      <c r="Q447" s="2" t="s">
        <v>19</v>
      </c>
    </row>
    <row r="448" spans="1:17" ht="68" x14ac:dyDescent="0.2">
      <c r="A448" t="s">
        <v>189</v>
      </c>
      <c r="B448" t="s">
        <v>90</v>
      </c>
      <c r="C448" t="s">
        <v>91</v>
      </c>
      <c r="D448" s="3">
        <v>44319</v>
      </c>
      <c r="E448" s="1">
        <v>44319.587384259263</v>
      </c>
      <c r="F448" t="s">
        <v>17</v>
      </c>
      <c r="G448" t="s">
        <v>45</v>
      </c>
      <c r="H448" s="1">
        <v>44319.53125</v>
      </c>
      <c r="I448" s="1">
        <v>44319.666666666664</v>
      </c>
      <c r="J448" s="4">
        <f t="shared" si="6"/>
        <v>0.13541666666424135</v>
      </c>
      <c r="K448" t="s">
        <v>195</v>
      </c>
      <c r="M448">
        <v>0</v>
      </c>
      <c r="N448" s="6">
        <v>1.8900462962962963E-2</v>
      </c>
      <c r="Q448" s="2" t="s">
        <v>19</v>
      </c>
    </row>
    <row r="449" spans="1:17" ht="68" x14ac:dyDescent="0.2">
      <c r="A449" t="s">
        <v>189</v>
      </c>
      <c r="B449" t="s">
        <v>90</v>
      </c>
      <c r="C449" t="s">
        <v>91</v>
      </c>
      <c r="D449" s="3">
        <v>44319</v>
      </c>
      <c r="E449" s="1">
        <v>44319.616608796299</v>
      </c>
      <c r="F449" t="s">
        <v>17</v>
      </c>
      <c r="G449" t="s">
        <v>45</v>
      </c>
      <c r="H449" s="1">
        <v>44319.53125</v>
      </c>
      <c r="I449" s="1">
        <v>44319.666666666664</v>
      </c>
      <c r="J449" s="4">
        <f t="shared" si="6"/>
        <v>0.13541666666424135</v>
      </c>
      <c r="K449" t="s">
        <v>195</v>
      </c>
      <c r="M449">
        <v>0</v>
      </c>
      <c r="N449" s="6">
        <v>8.2870370370370372E-3</v>
      </c>
      <c r="Q449" s="2" t="s">
        <v>19</v>
      </c>
    </row>
    <row r="450" spans="1:17" ht="68" x14ac:dyDescent="0.2">
      <c r="A450" t="s">
        <v>189</v>
      </c>
      <c r="B450" t="s">
        <v>90</v>
      </c>
      <c r="C450" t="s">
        <v>91</v>
      </c>
      <c r="D450" s="3">
        <v>44319</v>
      </c>
      <c r="E450" s="1">
        <v>44319.654687499999</v>
      </c>
      <c r="F450" t="s">
        <v>17</v>
      </c>
      <c r="G450" t="s">
        <v>45</v>
      </c>
      <c r="H450" s="1">
        <v>44319.53125</v>
      </c>
      <c r="I450" s="1">
        <v>44319.666666666664</v>
      </c>
      <c r="J450" s="4">
        <f t="shared" si="6"/>
        <v>0.13541666666424135</v>
      </c>
      <c r="K450" t="s">
        <v>195</v>
      </c>
      <c r="M450">
        <v>0</v>
      </c>
      <c r="N450" s="6">
        <v>0</v>
      </c>
      <c r="Q450" s="2" t="s">
        <v>19</v>
      </c>
    </row>
    <row r="451" spans="1:17" ht="68" x14ac:dyDescent="0.2">
      <c r="A451" t="s">
        <v>189</v>
      </c>
      <c r="B451" t="s">
        <v>90</v>
      </c>
      <c r="C451" t="s">
        <v>91</v>
      </c>
      <c r="D451" s="3">
        <v>44320</v>
      </c>
      <c r="E451" s="1">
        <v>44320.48709490741</v>
      </c>
      <c r="F451" t="s">
        <v>17</v>
      </c>
      <c r="G451" t="s">
        <v>64</v>
      </c>
      <c r="H451" s="1">
        <v>44320.380555555559</v>
      </c>
      <c r="I451" s="1">
        <v>44320.492361111108</v>
      </c>
      <c r="J451" s="4">
        <f t="shared" ref="J451:J514" si="7">IF($I451="","",$I451-$H451)</f>
        <v>0.11180555554892635</v>
      </c>
      <c r="K451" t="s">
        <v>205</v>
      </c>
      <c r="M451">
        <v>0</v>
      </c>
      <c r="N451" s="6">
        <v>0</v>
      </c>
      <c r="Q451" s="2" t="s">
        <v>19</v>
      </c>
    </row>
    <row r="452" spans="1:17" ht="68" x14ac:dyDescent="0.2">
      <c r="A452" t="s">
        <v>189</v>
      </c>
      <c r="B452" t="s">
        <v>90</v>
      </c>
      <c r="C452" t="s">
        <v>91</v>
      </c>
      <c r="D452" s="3">
        <v>44321</v>
      </c>
      <c r="E452" s="1">
        <v>44321.432060185187</v>
      </c>
      <c r="F452" t="s">
        <v>17</v>
      </c>
      <c r="G452" t="s">
        <v>36</v>
      </c>
      <c r="H452" s="1">
        <v>44321.395833333336</v>
      </c>
      <c r="I452" s="1">
        <v>44321.489583333336</v>
      </c>
      <c r="J452" s="4">
        <f t="shared" si="7"/>
        <v>9.375E-2</v>
      </c>
      <c r="K452" t="s">
        <v>206</v>
      </c>
      <c r="M452">
        <v>0</v>
      </c>
      <c r="N452" s="6">
        <v>2.4004629629629629E-2</v>
      </c>
      <c r="O452" t="s">
        <v>93</v>
      </c>
      <c r="Q452" s="2" t="s">
        <v>19</v>
      </c>
    </row>
    <row r="453" spans="1:17" ht="68" x14ac:dyDescent="0.2">
      <c r="A453" t="s">
        <v>189</v>
      </c>
      <c r="B453" t="s">
        <v>90</v>
      </c>
      <c r="C453" t="s">
        <v>91</v>
      </c>
      <c r="D453" s="3">
        <v>44321</v>
      </c>
      <c r="E453" s="1">
        <v>44321.645451388889</v>
      </c>
      <c r="F453" t="s">
        <v>17</v>
      </c>
      <c r="G453" t="s">
        <v>66</v>
      </c>
      <c r="H453" s="1">
        <v>44321.510416666664</v>
      </c>
      <c r="I453" s="1">
        <v>44321.666666666664</v>
      </c>
      <c r="J453" s="4">
        <f t="shared" si="7"/>
        <v>0.15625</v>
      </c>
      <c r="K453" t="s">
        <v>195</v>
      </c>
      <c r="M453">
        <v>0</v>
      </c>
      <c r="N453" s="6">
        <v>0</v>
      </c>
      <c r="Q453" s="2" t="s">
        <v>19</v>
      </c>
    </row>
    <row r="454" spans="1:17" ht="68" x14ac:dyDescent="0.2">
      <c r="A454" t="s">
        <v>189</v>
      </c>
      <c r="B454" t="s">
        <v>90</v>
      </c>
      <c r="C454" t="s">
        <v>91</v>
      </c>
      <c r="D454" s="3">
        <v>44323</v>
      </c>
      <c r="E454" s="1">
        <v>44323.447951388887</v>
      </c>
      <c r="F454" t="s">
        <v>17</v>
      </c>
      <c r="G454" t="s">
        <v>61</v>
      </c>
      <c r="H454" s="1">
        <v>44323.375</v>
      </c>
      <c r="I454" s="1">
        <v>44323.489583333336</v>
      </c>
      <c r="J454" s="4">
        <f t="shared" si="7"/>
        <v>0.11458333333575865</v>
      </c>
      <c r="K454" t="s">
        <v>206</v>
      </c>
      <c r="M454">
        <v>0</v>
      </c>
      <c r="N454" s="6">
        <v>2.78125E-2</v>
      </c>
      <c r="Q454" s="2" t="s">
        <v>19</v>
      </c>
    </row>
    <row r="455" spans="1:17" ht="68" x14ac:dyDescent="0.2">
      <c r="A455" t="s">
        <v>189</v>
      </c>
      <c r="B455" t="s">
        <v>90</v>
      </c>
      <c r="C455" t="s">
        <v>91</v>
      </c>
      <c r="D455" s="3">
        <v>44323</v>
      </c>
      <c r="E455" s="1">
        <v>44323.530277777776</v>
      </c>
      <c r="F455" t="s">
        <v>17</v>
      </c>
      <c r="G455" t="s">
        <v>67</v>
      </c>
      <c r="H455" s="1">
        <v>44323.510416666664</v>
      </c>
      <c r="I455" s="1">
        <v>44323.666666666664</v>
      </c>
      <c r="J455" s="4">
        <f t="shared" si="7"/>
        <v>0.15625</v>
      </c>
      <c r="K455" t="s">
        <v>207</v>
      </c>
      <c r="M455">
        <v>0</v>
      </c>
      <c r="N455" s="6">
        <v>2.2511574074074073E-2</v>
      </c>
      <c r="Q455" s="2" t="s">
        <v>19</v>
      </c>
    </row>
    <row r="456" spans="1:17" ht="68" x14ac:dyDescent="0.2">
      <c r="A456" t="s">
        <v>189</v>
      </c>
      <c r="B456" t="s">
        <v>90</v>
      </c>
      <c r="C456" t="s">
        <v>91</v>
      </c>
      <c r="D456" s="3">
        <v>44326</v>
      </c>
      <c r="E456" s="1">
        <v>44326.387187499997</v>
      </c>
      <c r="F456" t="s">
        <v>17</v>
      </c>
      <c r="G456" t="s">
        <v>63</v>
      </c>
      <c r="H456" s="1">
        <v>44326.375</v>
      </c>
      <c r="I456" s="1">
        <v>44326.489583333336</v>
      </c>
      <c r="J456" s="4">
        <f t="shared" si="7"/>
        <v>0.11458333333575865</v>
      </c>
      <c r="K456" t="s">
        <v>199</v>
      </c>
      <c r="M456">
        <v>0</v>
      </c>
      <c r="N456" s="6">
        <v>6.5624999999999998E-3</v>
      </c>
      <c r="Q456" s="2" t="s">
        <v>19</v>
      </c>
    </row>
    <row r="457" spans="1:17" ht="68" x14ac:dyDescent="0.2">
      <c r="A457" t="s">
        <v>189</v>
      </c>
      <c r="B457" t="s">
        <v>90</v>
      </c>
      <c r="C457" t="s">
        <v>91</v>
      </c>
      <c r="D457" s="3">
        <v>44326</v>
      </c>
      <c r="E457" s="1">
        <v>44326.412708333337</v>
      </c>
      <c r="F457" t="s">
        <v>17</v>
      </c>
      <c r="G457" t="s">
        <v>63</v>
      </c>
      <c r="H457" s="1">
        <v>44326.375</v>
      </c>
      <c r="I457" s="1">
        <v>44326.489583333336</v>
      </c>
      <c r="J457" s="4">
        <f t="shared" si="7"/>
        <v>0.11458333333575865</v>
      </c>
      <c r="K457" t="s">
        <v>199</v>
      </c>
      <c r="M457">
        <v>0</v>
      </c>
      <c r="N457" s="6">
        <v>1.5208333333333332E-2</v>
      </c>
      <c r="Q457" s="2" t="s">
        <v>19</v>
      </c>
    </row>
    <row r="458" spans="1:17" ht="68" x14ac:dyDescent="0.2">
      <c r="A458" t="s">
        <v>189</v>
      </c>
      <c r="B458" t="s">
        <v>90</v>
      </c>
      <c r="C458" t="s">
        <v>91</v>
      </c>
      <c r="D458" s="3">
        <v>44326</v>
      </c>
      <c r="E458" s="1">
        <v>44326.459409722222</v>
      </c>
      <c r="F458" t="s">
        <v>17</v>
      </c>
      <c r="G458" t="s">
        <v>63</v>
      </c>
      <c r="H458" s="1">
        <v>44326.375</v>
      </c>
      <c r="I458" s="1">
        <v>44326.489583333336</v>
      </c>
      <c r="J458" s="4">
        <f t="shared" si="7"/>
        <v>0.11458333333575865</v>
      </c>
      <c r="K458" t="s">
        <v>199</v>
      </c>
      <c r="M458">
        <v>0</v>
      </c>
      <c r="N458" s="6">
        <v>2.685185185185185E-3</v>
      </c>
      <c r="Q458" s="2" t="s">
        <v>19</v>
      </c>
    </row>
    <row r="459" spans="1:17" ht="68" x14ac:dyDescent="0.2">
      <c r="A459" t="s">
        <v>189</v>
      </c>
      <c r="B459" t="s">
        <v>90</v>
      </c>
      <c r="C459" t="s">
        <v>91</v>
      </c>
      <c r="D459" s="3">
        <v>44326</v>
      </c>
      <c r="E459" s="1">
        <v>44326.465254629627</v>
      </c>
      <c r="F459" t="s">
        <v>17</v>
      </c>
      <c r="G459" t="s">
        <v>63</v>
      </c>
      <c r="H459" s="1">
        <v>44326.375</v>
      </c>
      <c r="I459" s="1">
        <v>44326.489583333336</v>
      </c>
      <c r="J459" s="4">
        <f t="shared" si="7"/>
        <v>0.11458333333575865</v>
      </c>
      <c r="K459" t="s">
        <v>199</v>
      </c>
      <c r="M459">
        <v>0</v>
      </c>
      <c r="N459" s="6">
        <v>3.4722222222222224E-4</v>
      </c>
      <c r="Q459" s="2" t="s">
        <v>19</v>
      </c>
    </row>
    <row r="460" spans="1:17" ht="68" x14ac:dyDescent="0.2">
      <c r="A460" t="s">
        <v>189</v>
      </c>
      <c r="B460" t="s">
        <v>90</v>
      </c>
      <c r="C460" t="s">
        <v>91</v>
      </c>
      <c r="D460" s="3">
        <v>44326</v>
      </c>
      <c r="E460" s="1">
        <v>44326.470520833333</v>
      </c>
      <c r="F460" t="s">
        <v>17</v>
      </c>
      <c r="G460" t="s">
        <v>63</v>
      </c>
      <c r="H460" s="1">
        <v>44326.375</v>
      </c>
      <c r="I460" s="1">
        <v>44326.489583333336</v>
      </c>
      <c r="J460" s="4">
        <f t="shared" si="7"/>
        <v>0.11458333333575865</v>
      </c>
      <c r="K460" t="s">
        <v>199</v>
      </c>
      <c r="M460">
        <v>0</v>
      </c>
      <c r="N460" s="6">
        <v>4.9884259259259265E-3</v>
      </c>
      <c r="Q460" s="2" t="s">
        <v>19</v>
      </c>
    </row>
    <row r="461" spans="1:17" ht="68" x14ac:dyDescent="0.2">
      <c r="A461" t="s">
        <v>189</v>
      </c>
      <c r="B461" t="s">
        <v>90</v>
      </c>
      <c r="C461" t="s">
        <v>91</v>
      </c>
      <c r="D461" s="3">
        <v>44326</v>
      </c>
      <c r="E461" s="1">
        <v>44326.479143518518</v>
      </c>
      <c r="F461" t="s">
        <v>17</v>
      </c>
      <c r="G461" t="s">
        <v>63</v>
      </c>
      <c r="H461" s="1">
        <v>44326.375</v>
      </c>
      <c r="I461" s="1">
        <v>44326.489583333336</v>
      </c>
      <c r="J461" s="4">
        <f t="shared" si="7"/>
        <v>0.11458333333575865</v>
      </c>
      <c r="K461" t="s">
        <v>199</v>
      </c>
      <c r="M461">
        <v>0</v>
      </c>
      <c r="N461" s="6">
        <v>5.7870370370370378E-4</v>
      </c>
      <c r="Q461" s="2" t="s">
        <v>19</v>
      </c>
    </row>
    <row r="462" spans="1:17" ht="68" x14ac:dyDescent="0.2">
      <c r="A462" t="s">
        <v>189</v>
      </c>
      <c r="B462" t="s">
        <v>90</v>
      </c>
      <c r="C462" t="s">
        <v>91</v>
      </c>
      <c r="D462" s="3">
        <v>44326</v>
      </c>
      <c r="E462" s="1">
        <v>44326.484664351854</v>
      </c>
      <c r="F462" t="s">
        <v>17</v>
      </c>
      <c r="G462" t="s">
        <v>63</v>
      </c>
      <c r="H462" s="1">
        <v>44326.375</v>
      </c>
      <c r="I462" s="1">
        <v>44326.489583333336</v>
      </c>
      <c r="J462" s="4">
        <f t="shared" si="7"/>
        <v>0.11458333333575865</v>
      </c>
      <c r="K462" t="s">
        <v>199</v>
      </c>
      <c r="M462">
        <v>0</v>
      </c>
      <c r="N462" s="6">
        <v>4.5023148148148149E-3</v>
      </c>
      <c r="Q462" s="2" t="s">
        <v>19</v>
      </c>
    </row>
    <row r="463" spans="1:17" ht="68" x14ac:dyDescent="0.2">
      <c r="A463" t="s">
        <v>189</v>
      </c>
      <c r="B463" t="s">
        <v>90</v>
      </c>
      <c r="C463" t="s">
        <v>91</v>
      </c>
      <c r="D463" s="3">
        <v>44326</v>
      </c>
      <c r="E463" s="1">
        <v>44326.485821759263</v>
      </c>
      <c r="F463" t="s">
        <v>17</v>
      </c>
      <c r="G463" t="s">
        <v>63</v>
      </c>
      <c r="H463" s="1">
        <v>44326.375</v>
      </c>
      <c r="I463" s="1">
        <v>44326.489583333336</v>
      </c>
      <c r="J463" s="4">
        <f t="shared" si="7"/>
        <v>0.11458333333575865</v>
      </c>
      <c r="K463" t="s">
        <v>199</v>
      </c>
      <c r="M463">
        <v>0</v>
      </c>
      <c r="N463" s="6">
        <v>7.407407407407407E-4</v>
      </c>
      <c r="Q463" s="2" t="s">
        <v>19</v>
      </c>
    </row>
    <row r="464" spans="1:17" ht="68" x14ac:dyDescent="0.2">
      <c r="A464" t="s">
        <v>189</v>
      </c>
      <c r="B464" t="s">
        <v>90</v>
      </c>
      <c r="C464" t="s">
        <v>91</v>
      </c>
      <c r="D464" s="3">
        <v>44326</v>
      </c>
      <c r="E464" s="1">
        <v>44326.488449074073</v>
      </c>
      <c r="F464" t="s">
        <v>17</v>
      </c>
      <c r="G464" t="s">
        <v>63</v>
      </c>
      <c r="H464" s="1">
        <v>44326.375</v>
      </c>
      <c r="I464" s="1">
        <v>44326.489583333336</v>
      </c>
      <c r="J464" s="4">
        <f t="shared" si="7"/>
        <v>0.11458333333575865</v>
      </c>
      <c r="K464" t="s">
        <v>199</v>
      </c>
      <c r="M464">
        <v>0</v>
      </c>
      <c r="N464" s="6">
        <v>1.6087962962962963E-3</v>
      </c>
      <c r="Q464" s="2" t="s">
        <v>19</v>
      </c>
    </row>
    <row r="465" spans="1:17" ht="68" x14ac:dyDescent="0.2">
      <c r="A465" t="s">
        <v>189</v>
      </c>
      <c r="B465" t="s">
        <v>90</v>
      </c>
      <c r="C465" t="s">
        <v>91</v>
      </c>
      <c r="D465" s="3">
        <v>44326</v>
      </c>
      <c r="E465" s="1">
        <v>44326.489502314813</v>
      </c>
      <c r="F465" t="s">
        <v>17</v>
      </c>
      <c r="G465" t="s">
        <v>63</v>
      </c>
      <c r="H465" s="1">
        <v>44326.375</v>
      </c>
      <c r="I465" s="1">
        <v>44326.489583333336</v>
      </c>
      <c r="J465" s="4">
        <f t="shared" si="7"/>
        <v>0.11458333333575865</v>
      </c>
      <c r="K465" t="s">
        <v>199</v>
      </c>
      <c r="M465">
        <v>0</v>
      </c>
      <c r="N465" s="6">
        <v>0</v>
      </c>
      <c r="Q465" s="2" t="s">
        <v>19</v>
      </c>
    </row>
    <row r="466" spans="1:17" ht="68" x14ac:dyDescent="0.2">
      <c r="A466" t="s">
        <v>189</v>
      </c>
      <c r="B466" t="s">
        <v>90</v>
      </c>
      <c r="C466" t="s">
        <v>91</v>
      </c>
      <c r="D466" s="3">
        <v>44326</v>
      </c>
      <c r="E466" s="1">
        <v>44326.541678240741</v>
      </c>
      <c r="F466" t="s">
        <v>17</v>
      </c>
      <c r="G466" t="s">
        <v>59</v>
      </c>
      <c r="H466" s="1">
        <v>44326.53125</v>
      </c>
      <c r="I466" s="1">
        <v>44326.666666666664</v>
      </c>
      <c r="J466" s="4">
        <f t="shared" si="7"/>
        <v>0.13541666666424135</v>
      </c>
      <c r="K466" t="s">
        <v>195</v>
      </c>
      <c r="M466">
        <v>0</v>
      </c>
      <c r="N466" s="6">
        <v>4.3055555555555555E-3</v>
      </c>
      <c r="Q466" s="2" t="s">
        <v>19</v>
      </c>
    </row>
    <row r="467" spans="1:17" ht="68" x14ac:dyDescent="0.2">
      <c r="A467" t="s">
        <v>189</v>
      </c>
      <c r="B467" t="s">
        <v>90</v>
      </c>
      <c r="C467" t="s">
        <v>91</v>
      </c>
      <c r="D467" s="3">
        <v>44326</v>
      </c>
      <c r="E467" s="1">
        <v>44326.542615740742</v>
      </c>
      <c r="F467" t="s">
        <v>17</v>
      </c>
      <c r="G467" t="s">
        <v>59</v>
      </c>
      <c r="H467" s="1">
        <v>44326.53125</v>
      </c>
      <c r="I467" s="1">
        <v>44326.666666666664</v>
      </c>
      <c r="J467" s="4">
        <f t="shared" si="7"/>
        <v>0.13541666666424135</v>
      </c>
      <c r="K467" t="s">
        <v>195</v>
      </c>
      <c r="M467">
        <v>0</v>
      </c>
      <c r="N467" s="6">
        <v>7.6388888888888893E-4</v>
      </c>
      <c r="Q467" s="2" t="s">
        <v>19</v>
      </c>
    </row>
    <row r="468" spans="1:17" ht="68" x14ac:dyDescent="0.2">
      <c r="A468" t="s">
        <v>189</v>
      </c>
      <c r="B468" t="s">
        <v>90</v>
      </c>
      <c r="C468" t="s">
        <v>91</v>
      </c>
      <c r="D468" s="3">
        <v>44326</v>
      </c>
      <c r="E468" s="1">
        <v>44326.598356481481</v>
      </c>
      <c r="F468" t="s">
        <v>17</v>
      </c>
      <c r="G468" t="s">
        <v>59</v>
      </c>
      <c r="H468" s="1">
        <v>44326.53125</v>
      </c>
      <c r="I468" s="1">
        <v>44326.666666666664</v>
      </c>
      <c r="J468" s="4">
        <f t="shared" si="7"/>
        <v>0.13541666666424135</v>
      </c>
      <c r="K468" t="s">
        <v>195</v>
      </c>
      <c r="M468">
        <v>0</v>
      </c>
      <c r="N468" s="6">
        <v>3.2407407407407406E-3</v>
      </c>
      <c r="Q468" s="2" t="s">
        <v>19</v>
      </c>
    </row>
    <row r="469" spans="1:17" ht="68" x14ac:dyDescent="0.2">
      <c r="A469" t="s">
        <v>189</v>
      </c>
      <c r="B469" t="s">
        <v>90</v>
      </c>
      <c r="C469" t="s">
        <v>91</v>
      </c>
      <c r="D469" s="3">
        <v>44326</v>
      </c>
      <c r="E469" s="1">
        <v>44326.598900462966</v>
      </c>
      <c r="F469" t="s">
        <v>17</v>
      </c>
      <c r="G469" t="s">
        <v>59</v>
      </c>
      <c r="H469" s="1">
        <v>44326.53125</v>
      </c>
      <c r="I469" s="1">
        <v>44326.666666666664</v>
      </c>
      <c r="J469" s="4">
        <f t="shared" si="7"/>
        <v>0.13541666666424135</v>
      </c>
      <c r="K469" t="s">
        <v>195</v>
      </c>
      <c r="M469">
        <v>0</v>
      </c>
      <c r="N469" s="6">
        <v>3.8194444444444446E-4</v>
      </c>
      <c r="Q469" s="2" t="s">
        <v>19</v>
      </c>
    </row>
    <row r="470" spans="1:17" ht="68" x14ac:dyDescent="0.2">
      <c r="A470" t="s">
        <v>189</v>
      </c>
      <c r="B470" t="s">
        <v>90</v>
      </c>
      <c r="C470" t="s">
        <v>91</v>
      </c>
      <c r="D470" s="3">
        <v>44326</v>
      </c>
      <c r="E470" s="1">
        <v>44326.600381944445</v>
      </c>
      <c r="F470" t="s">
        <v>17</v>
      </c>
      <c r="G470" t="s">
        <v>59</v>
      </c>
      <c r="H470" s="1">
        <v>44326.53125</v>
      </c>
      <c r="I470" s="1">
        <v>44326.666666666664</v>
      </c>
      <c r="J470" s="4">
        <f t="shared" si="7"/>
        <v>0.13541666666424135</v>
      </c>
      <c r="K470" t="s">
        <v>195</v>
      </c>
      <c r="M470">
        <v>0</v>
      </c>
      <c r="N470" s="6">
        <v>1.2268518518518518E-3</v>
      </c>
      <c r="Q470" s="2" t="s">
        <v>19</v>
      </c>
    </row>
    <row r="471" spans="1:17" ht="68" x14ac:dyDescent="0.2">
      <c r="A471" t="s">
        <v>189</v>
      </c>
      <c r="B471" t="s">
        <v>90</v>
      </c>
      <c r="C471" t="s">
        <v>91</v>
      </c>
      <c r="D471" s="3">
        <v>44326</v>
      </c>
      <c r="E471" s="1">
        <v>44326.615324074075</v>
      </c>
      <c r="F471" t="s">
        <v>17</v>
      </c>
      <c r="G471" t="s">
        <v>59</v>
      </c>
      <c r="H471" s="1">
        <v>44326.53125</v>
      </c>
      <c r="I471" s="1">
        <v>44326.666666666664</v>
      </c>
      <c r="J471" s="4">
        <f t="shared" si="7"/>
        <v>0.13541666666424135</v>
      </c>
      <c r="K471" t="s">
        <v>195</v>
      </c>
      <c r="M471">
        <v>0</v>
      </c>
      <c r="N471" s="6">
        <v>1.4016203703703704E-2</v>
      </c>
      <c r="Q471" s="2" t="s">
        <v>19</v>
      </c>
    </row>
    <row r="472" spans="1:17" ht="68" x14ac:dyDescent="0.2">
      <c r="A472" t="s">
        <v>189</v>
      </c>
      <c r="B472" t="s">
        <v>90</v>
      </c>
      <c r="C472" t="s">
        <v>91</v>
      </c>
      <c r="D472" s="3">
        <v>44326</v>
      </c>
      <c r="E472" s="1">
        <v>44326.6408912037</v>
      </c>
      <c r="F472" t="s">
        <v>17</v>
      </c>
      <c r="G472" t="s">
        <v>59</v>
      </c>
      <c r="H472" s="1">
        <v>44326.53125</v>
      </c>
      <c r="I472" s="1">
        <v>44326.666666666664</v>
      </c>
      <c r="J472" s="4">
        <f t="shared" si="7"/>
        <v>0.13541666666424135</v>
      </c>
      <c r="K472" t="s">
        <v>195</v>
      </c>
      <c r="M472">
        <v>0</v>
      </c>
      <c r="N472" s="6">
        <v>2.627314814814815E-3</v>
      </c>
      <c r="Q472" s="2" t="s">
        <v>19</v>
      </c>
    </row>
    <row r="473" spans="1:17" ht="68" x14ac:dyDescent="0.2">
      <c r="A473" t="s">
        <v>189</v>
      </c>
      <c r="B473" t="s">
        <v>90</v>
      </c>
      <c r="C473" t="s">
        <v>91</v>
      </c>
      <c r="D473" s="3">
        <v>44326</v>
      </c>
      <c r="E473" s="1">
        <v>44326.643518518518</v>
      </c>
      <c r="F473" t="s">
        <v>17</v>
      </c>
      <c r="G473" t="s">
        <v>59</v>
      </c>
      <c r="H473" s="1">
        <v>44326.53125</v>
      </c>
      <c r="I473" s="1">
        <v>44326.666666666664</v>
      </c>
      <c r="J473" s="4">
        <f t="shared" si="7"/>
        <v>0.13541666666424135</v>
      </c>
      <c r="K473" t="s">
        <v>195</v>
      </c>
      <c r="M473">
        <v>0</v>
      </c>
      <c r="N473" s="6">
        <v>1.2731481481481483E-3</v>
      </c>
      <c r="Q473" s="2" t="s">
        <v>19</v>
      </c>
    </row>
    <row r="474" spans="1:17" ht="68" x14ac:dyDescent="0.2">
      <c r="A474" t="s">
        <v>189</v>
      </c>
      <c r="B474" t="s">
        <v>90</v>
      </c>
      <c r="C474" t="s">
        <v>91</v>
      </c>
      <c r="D474" s="3">
        <v>44326</v>
      </c>
      <c r="E474" s="1">
        <v>44326.665347222224</v>
      </c>
      <c r="F474" t="s">
        <v>17</v>
      </c>
      <c r="G474" t="s">
        <v>59</v>
      </c>
      <c r="H474" s="1">
        <v>44326.53125</v>
      </c>
      <c r="I474" s="1">
        <v>44326.666666666664</v>
      </c>
      <c r="J474" s="4">
        <f t="shared" si="7"/>
        <v>0.13541666666424135</v>
      </c>
      <c r="K474" t="s">
        <v>195</v>
      </c>
      <c r="M474">
        <v>0</v>
      </c>
      <c r="N474" s="6">
        <v>0</v>
      </c>
      <c r="Q474" s="2" t="s">
        <v>19</v>
      </c>
    </row>
    <row r="475" spans="1:17" ht="68" x14ac:dyDescent="0.2">
      <c r="A475" t="s">
        <v>189</v>
      </c>
      <c r="B475" t="s">
        <v>90</v>
      </c>
      <c r="C475" t="s">
        <v>91</v>
      </c>
      <c r="D475" s="3">
        <v>44327</v>
      </c>
      <c r="E475" s="1">
        <v>44327.392951388887</v>
      </c>
      <c r="F475" t="s">
        <v>17</v>
      </c>
      <c r="G475" t="s">
        <v>39</v>
      </c>
      <c r="H475" s="1">
        <v>44327.375</v>
      </c>
      <c r="I475" s="1">
        <v>44327.489583333336</v>
      </c>
      <c r="J475" s="4">
        <f t="shared" si="7"/>
        <v>0.11458333333575865</v>
      </c>
      <c r="K475" t="s">
        <v>190</v>
      </c>
      <c r="M475">
        <v>0</v>
      </c>
      <c r="N475" s="6">
        <v>9.2129629629629627E-3</v>
      </c>
      <c r="Q475" s="2" t="s">
        <v>19</v>
      </c>
    </row>
    <row r="476" spans="1:17" ht="68" x14ac:dyDescent="0.2">
      <c r="A476" t="s">
        <v>189</v>
      </c>
      <c r="B476" t="s">
        <v>90</v>
      </c>
      <c r="C476" t="s">
        <v>91</v>
      </c>
      <c r="D476" s="3">
        <v>44327</v>
      </c>
      <c r="E476" s="1">
        <v>44327.398831018516</v>
      </c>
      <c r="F476" t="s">
        <v>17</v>
      </c>
      <c r="G476" t="s">
        <v>39</v>
      </c>
      <c r="H476" s="1">
        <v>44327.375</v>
      </c>
      <c r="I476" s="1">
        <v>44327.489583333336</v>
      </c>
      <c r="J476" s="4">
        <f t="shared" si="7"/>
        <v>0.11458333333575865</v>
      </c>
      <c r="K476" t="s">
        <v>190</v>
      </c>
      <c r="M476">
        <v>0</v>
      </c>
      <c r="N476" s="6">
        <v>2.6041666666666665E-3</v>
      </c>
      <c r="Q476" s="2" t="s">
        <v>19</v>
      </c>
    </row>
    <row r="477" spans="1:17" ht="68" x14ac:dyDescent="0.2">
      <c r="A477" t="s">
        <v>189</v>
      </c>
      <c r="B477" t="s">
        <v>90</v>
      </c>
      <c r="C477" t="s">
        <v>91</v>
      </c>
      <c r="D477" s="3">
        <v>44327</v>
      </c>
      <c r="E477" s="1">
        <v>44327.399398148147</v>
      </c>
      <c r="F477" t="s">
        <v>17</v>
      </c>
      <c r="G477" t="s">
        <v>39</v>
      </c>
      <c r="H477" s="1">
        <v>44327.375</v>
      </c>
      <c r="I477" s="1">
        <v>44327.489583333336</v>
      </c>
      <c r="J477" s="4">
        <f t="shared" si="7"/>
        <v>0.11458333333575865</v>
      </c>
      <c r="K477" t="s">
        <v>190</v>
      </c>
      <c r="M477">
        <v>0</v>
      </c>
      <c r="N477" s="6">
        <v>5.4398148148148144E-4</v>
      </c>
      <c r="Q477" s="2" t="s">
        <v>19</v>
      </c>
    </row>
    <row r="478" spans="1:17" ht="68" x14ac:dyDescent="0.2">
      <c r="A478" t="s">
        <v>189</v>
      </c>
      <c r="B478" t="s">
        <v>90</v>
      </c>
      <c r="C478" t="s">
        <v>91</v>
      </c>
      <c r="D478" s="3">
        <v>44327</v>
      </c>
      <c r="E478" s="1">
        <v>44327.407685185186</v>
      </c>
      <c r="F478" t="s">
        <v>17</v>
      </c>
      <c r="G478" t="s">
        <v>39</v>
      </c>
      <c r="H478" s="1">
        <v>44327.375</v>
      </c>
      <c r="I478" s="1">
        <v>44327.489583333336</v>
      </c>
      <c r="J478" s="4">
        <f t="shared" si="7"/>
        <v>0.11458333333575865</v>
      </c>
      <c r="K478" t="s">
        <v>190</v>
      </c>
      <c r="M478">
        <v>0</v>
      </c>
      <c r="N478" s="6">
        <v>7.719907407407408E-3</v>
      </c>
      <c r="Q478" s="2" t="s">
        <v>19</v>
      </c>
    </row>
    <row r="479" spans="1:17" ht="68" x14ac:dyDescent="0.2">
      <c r="A479" t="s">
        <v>189</v>
      </c>
      <c r="B479" t="s">
        <v>90</v>
      </c>
      <c r="C479" t="s">
        <v>91</v>
      </c>
      <c r="D479" s="3">
        <v>44327</v>
      </c>
      <c r="E479" s="1">
        <v>44327.415983796294</v>
      </c>
      <c r="F479" t="s">
        <v>17</v>
      </c>
      <c r="G479" t="s">
        <v>39</v>
      </c>
      <c r="H479" s="1">
        <v>44327.375</v>
      </c>
      <c r="I479" s="1">
        <v>44327.489583333336</v>
      </c>
      <c r="J479" s="4">
        <f t="shared" si="7"/>
        <v>0.11458333333575865</v>
      </c>
      <c r="K479" t="s">
        <v>190</v>
      </c>
      <c r="M479">
        <v>0</v>
      </c>
      <c r="N479" s="6">
        <v>5.8680555555555543E-3</v>
      </c>
      <c r="Q479" s="2" t="s">
        <v>19</v>
      </c>
    </row>
    <row r="480" spans="1:17" ht="68" x14ac:dyDescent="0.2">
      <c r="A480" t="s">
        <v>189</v>
      </c>
      <c r="B480" t="s">
        <v>90</v>
      </c>
      <c r="C480" t="s">
        <v>91</v>
      </c>
      <c r="D480" s="3">
        <v>44327</v>
      </c>
      <c r="E480" s="1">
        <v>44327.426412037035</v>
      </c>
      <c r="F480" t="s">
        <v>17</v>
      </c>
      <c r="G480" t="s">
        <v>39</v>
      </c>
      <c r="H480" s="1">
        <v>44327.375</v>
      </c>
      <c r="I480" s="1">
        <v>44327.489583333336</v>
      </c>
      <c r="J480" s="4">
        <f t="shared" si="7"/>
        <v>0.11458333333575865</v>
      </c>
      <c r="K480" t="s">
        <v>190</v>
      </c>
      <c r="M480">
        <v>0</v>
      </c>
      <c r="N480" s="6">
        <v>4.5601851851851853E-3</v>
      </c>
      <c r="Q480" s="2" t="s">
        <v>19</v>
      </c>
    </row>
    <row r="481" spans="1:17" ht="68" x14ac:dyDescent="0.2">
      <c r="A481" t="s">
        <v>189</v>
      </c>
      <c r="B481" t="s">
        <v>90</v>
      </c>
      <c r="C481" t="s">
        <v>91</v>
      </c>
      <c r="D481" s="3">
        <v>44327</v>
      </c>
      <c r="E481" s="1">
        <v>44327.484247685185</v>
      </c>
      <c r="F481" t="s">
        <v>17</v>
      </c>
      <c r="G481" t="s">
        <v>39</v>
      </c>
      <c r="H481" s="1">
        <v>44327.375</v>
      </c>
      <c r="I481" s="1">
        <v>44327.489583333336</v>
      </c>
      <c r="J481" s="4">
        <f t="shared" si="7"/>
        <v>0.11458333333575865</v>
      </c>
      <c r="K481" t="s">
        <v>190</v>
      </c>
      <c r="M481">
        <v>0</v>
      </c>
      <c r="N481" s="5" t="s">
        <v>144</v>
      </c>
      <c r="Q481" s="2" t="s">
        <v>19</v>
      </c>
    </row>
    <row r="482" spans="1:17" ht="68" x14ac:dyDescent="0.2">
      <c r="A482" t="s">
        <v>189</v>
      </c>
      <c r="B482" t="s">
        <v>90</v>
      </c>
      <c r="C482" t="s">
        <v>91</v>
      </c>
      <c r="D482" s="3">
        <v>44327</v>
      </c>
      <c r="E482" s="1">
        <v>44327.495393518519</v>
      </c>
      <c r="F482" t="s">
        <v>17</v>
      </c>
      <c r="G482" t="s">
        <v>101</v>
      </c>
      <c r="H482" s="1">
        <v>44327.489583333336</v>
      </c>
      <c r="I482" s="1">
        <v>44327.5</v>
      </c>
      <c r="J482" s="4">
        <f t="shared" si="7"/>
        <v>1.0416666664241347E-2</v>
      </c>
      <c r="K482" t="s">
        <v>190</v>
      </c>
      <c r="M482">
        <v>0</v>
      </c>
      <c r="N482" s="6">
        <v>3.6342592592592594E-3</v>
      </c>
      <c r="Q482" s="2" t="s">
        <v>19</v>
      </c>
    </row>
    <row r="483" spans="1:17" ht="68" x14ac:dyDescent="0.2">
      <c r="A483" t="s">
        <v>189</v>
      </c>
      <c r="B483" t="s">
        <v>90</v>
      </c>
      <c r="C483" t="s">
        <v>91</v>
      </c>
      <c r="D483" s="3">
        <v>44327</v>
      </c>
      <c r="E483" s="1">
        <v>44327.552222222221</v>
      </c>
      <c r="F483" t="s">
        <v>17</v>
      </c>
      <c r="G483" t="s">
        <v>68</v>
      </c>
      <c r="H483" s="1">
        <v>44327.541666666664</v>
      </c>
      <c r="I483" s="1">
        <v>44327.583333333336</v>
      </c>
      <c r="J483" s="4">
        <f t="shared" si="7"/>
        <v>4.1666666671517305E-2</v>
      </c>
      <c r="K483" t="s">
        <v>192</v>
      </c>
      <c r="M483">
        <v>0</v>
      </c>
      <c r="N483" s="6">
        <v>0</v>
      </c>
      <c r="Q483" s="2" t="s">
        <v>19</v>
      </c>
    </row>
    <row r="484" spans="1:17" ht="68" x14ac:dyDescent="0.2">
      <c r="A484" t="s">
        <v>189</v>
      </c>
      <c r="B484" t="s">
        <v>90</v>
      </c>
      <c r="C484" t="s">
        <v>91</v>
      </c>
      <c r="D484" s="3">
        <v>44327</v>
      </c>
      <c r="E484" s="1">
        <v>44327.861284722225</v>
      </c>
      <c r="F484" t="s">
        <v>17</v>
      </c>
      <c r="G484" t="s">
        <v>68</v>
      </c>
      <c r="H484" s="1">
        <v>44327.541666666664</v>
      </c>
      <c r="I484" s="1">
        <v>44327.583333333336</v>
      </c>
      <c r="J484" s="4">
        <f t="shared" si="7"/>
        <v>4.1666666671517305E-2</v>
      </c>
      <c r="K484" t="s">
        <v>192</v>
      </c>
      <c r="M484">
        <v>0</v>
      </c>
      <c r="N484" s="6">
        <v>0</v>
      </c>
      <c r="Q484" s="2" t="s">
        <v>19</v>
      </c>
    </row>
    <row r="485" spans="1:17" ht="68" x14ac:dyDescent="0.2">
      <c r="A485" t="s">
        <v>189</v>
      </c>
      <c r="B485" t="s">
        <v>90</v>
      </c>
      <c r="C485" t="s">
        <v>91</v>
      </c>
      <c r="D485" s="3">
        <v>44328</v>
      </c>
      <c r="E485" s="1">
        <v>44328.541076388887</v>
      </c>
      <c r="F485" t="s">
        <v>17</v>
      </c>
      <c r="G485" t="s">
        <v>45</v>
      </c>
      <c r="H485" s="1">
        <v>44328.53125</v>
      </c>
      <c r="I485" s="1">
        <v>44328.666666666664</v>
      </c>
      <c r="J485" s="4">
        <f t="shared" si="7"/>
        <v>0.13541666666424135</v>
      </c>
      <c r="K485" t="s">
        <v>195</v>
      </c>
      <c r="M485">
        <v>0</v>
      </c>
      <c r="N485" s="6">
        <v>5.5555555555555556E-4</v>
      </c>
      <c r="Q485" s="2" t="s">
        <v>19</v>
      </c>
    </row>
    <row r="486" spans="1:17" ht="68" x14ac:dyDescent="0.2">
      <c r="A486" t="s">
        <v>189</v>
      </c>
      <c r="B486" t="s">
        <v>90</v>
      </c>
      <c r="C486" t="s">
        <v>91</v>
      </c>
      <c r="D486" s="3">
        <v>44328</v>
      </c>
      <c r="E486" s="1">
        <v>44328.545370370368</v>
      </c>
      <c r="F486" t="s">
        <v>17</v>
      </c>
      <c r="G486" t="s">
        <v>45</v>
      </c>
      <c r="H486" s="1">
        <v>44328.53125</v>
      </c>
      <c r="I486" s="1">
        <v>44328.666666666664</v>
      </c>
      <c r="J486" s="4">
        <f t="shared" si="7"/>
        <v>0.13541666666424135</v>
      </c>
      <c r="K486" t="s">
        <v>195</v>
      </c>
      <c r="M486">
        <v>0</v>
      </c>
      <c r="N486" s="6">
        <v>2.7083333333333334E-3</v>
      </c>
      <c r="Q486" s="2" t="s">
        <v>19</v>
      </c>
    </row>
    <row r="487" spans="1:17" ht="68" x14ac:dyDescent="0.2">
      <c r="A487" t="s">
        <v>189</v>
      </c>
      <c r="B487" t="s">
        <v>90</v>
      </c>
      <c r="C487" t="s">
        <v>91</v>
      </c>
      <c r="D487" s="3">
        <v>44328</v>
      </c>
      <c r="E487" s="1">
        <v>44328.589814814812</v>
      </c>
      <c r="F487" t="s">
        <v>17</v>
      </c>
      <c r="G487" t="s">
        <v>45</v>
      </c>
      <c r="H487" s="1">
        <v>44328.53125</v>
      </c>
      <c r="I487" s="1">
        <v>44328.666666666664</v>
      </c>
      <c r="J487" s="4">
        <f t="shared" si="7"/>
        <v>0.13541666666424135</v>
      </c>
      <c r="K487" t="s">
        <v>195</v>
      </c>
      <c r="M487">
        <v>0</v>
      </c>
      <c r="N487" s="6">
        <v>1.2847222222222223E-3</v>
      </c>
      <c r="Q487" s="2" t="s">
        <v>19</v>
      </c>
    </row>
    <row r="488" spans="1:17" ht="68" x14ac:dyDescent="0.2">
      <c r="A488" t="s">
        <v>189</v>
      </c>
      <c r="B488" t="s">
        <v>90</v>
      </c>
      <c r="C488" t="s">
        <v>91</v>
      </c>
      <c r="D488" s="3">
        <v>44328</v>
      </c>
      <c r="E488" s="1">
        <v>44328.627002314817</v>
      </c>
      <c r="F488" t="s">
        <v>17</v>
      </c>
      <c r="G488" t="s">
        <v>45</v>
      </c>
      <c r="H488" s="1">
        <v>44328.53125</v>
      </c>
      <c r="I488" s="1">
        <v>44328.666666666664</v>
      </c>
      <c r="J488" s="4">
        <f t="shared" si="7"/>
        <v>0.13541666666424135</v>
      </c>
      <c r="K488" t="s">
        <v>195</v>
      </c>
      <c r="M488">
        <v>0</v>
      </c>
      <c r="N488" s="6">
        <v>4.7453703703703703E-3</v>
      </c>
      <c r="Q488" s="2" t="s">
        <v>19</v>
      </c>
    </row>
    <row r="489" spans="1:17" ht="68" x14ac:dyDescent="0.2">
      <c r="A489" t="s">
        <v>189</v>
      </c>
      <c r="B489" t="s">
        <v>90</v>
      </c>
      <c r="C489" t="s">
        <v>91</v>
      </c>
      <c r="D489" s="3">
        <v>44328</v>
      </c>
      <c r="E489" s="1">
        <v>44328.627002314817</v>
      </c>
      <c r="F489" t="s">
        <v>17</v>
      </c>
      <c r="G489" t="s">
        <v>45</v>
      </c>
      <c r="H489" s="1">
        <v>44328.53125</v>
      </c>
      <c r="I489" s="1">
        <v>44328.666666666664</v>
      </c>
      <c r="J489" s="4">
        <f t="shared" si="7"/>
        <v>0.13541666666424135</v>
      </c>
      <c r="K489" t="s">
        <v>195</v>
      </c>
      <c r="M489">
        <v>0</v>
      </c>
      <c r="N489" s="6">
        <v>0</v>
      </c>
      <c r="Q489" s="2" t="s">
        <v>19</v>
      </c>
    </row>
    <row r="490" spans="1:17" ht="68" x14ac:dyDescent="0.2">
      <c r="A490" t="s">
        <v>189</v>
      </c>
      <c r="B490" t="s">
        <v>90</v>
      </c>
      <c r="C490" t="s">
        <v>91</v>
      </c>
      <c r="D490" s="3">
        <v>44328</v>
      </c>
      <c r="E490" s="1">
        <v>44328.657094907408</v>
      </c>
      <c r="F490" t="s">
        <v>17</v>
      </c>
      <c r="G490" t="s">
        <v>45</v>
      </c>
      <c r="H490" s="1">
        <v>44328.53125</v>
      </c>
      <c r="I490" s="1">
        <v>44328.666666666664</v>
      </c>
      <c r="J490" s="4">
        <f t="shared" si="7"/>
        <v>0.13541666666424135</v>
      </c>
      <c r="K490" t="s">
        <v>195</v>
      </c>
      <c r="M490">
        <v>0</v>
      </c>
      <c r="N490" s="6">
        <v>0</v>
      </c>
      <c r="Q490" s="2" t="s">
        <v>19</v>
      </c>
    </row>
    <row r="491" spans="1:17" ht="68" x14ac:dyDescent="0.2">
      <c r="A491" t="s">
        <v>189</v>
      </c>
      <c r="B491" t="s">
        <v>90</v>
      </c>
      <c r="C491" t="s">
        <v>91</v>
      </c>
      <c r="D491" s="3">
        <v>44334</v>
      </c>
      <c r="E491" s="1">
        <v>44334.405277777776</v>
      </c>
      <c r="F491" t="s">
        <v>17</v>
      </c>
      <c r="G491" t="s">
        <v>55</v>
      </c>
      <c r="H491" s="1">
        <v>44334.375</v>
      </c>
      <c r="I491" s="1">
        <v>44334.489583333336</v>
      </c>
      <c r="J491" s="4">
        <f t="shared" si="7"/>
        <v>0.11458333333575865</v>
      </c>
      <c r="K491" t="s">
        <v>200</v>
      </c>
      <c r="M491">
        <v>0</v>
      </c>
      <c r="N491" s="6">
        <v>7.037037037037037E-3</v>
      </c>
      <c r="Q491" s="2" t="s">
        <v>19</v>
      </c>
    </row>
    <row r="492" spans="1:17" ht="68" x14ac:dyDescent="0.2">
      <c r="A492" t="s">
        <v>189</v>
      </c>
      <c r="B492" t="s">
        <v>90</v>
      </c>
      <c r="C492" t="s">
        <v>91</v>
      </c>
      <c r="D492" s="3">
        <v>44334</v>
      </c>
      <c r="E492" s="1">
        <v>44334.486597222225</v>
      </c>
      <c r="F492" t="s">
        <v>17</v>
      </c>
      <c r="G492" t="s">
        <v>55</v>
      </c>
      <c r="H492" s="1">
        <v>44334.375</v>
      </c>
      <c r="I492" s="1">
        <v>44334.489583333336</v>
      </c>
      <c r="J492" s="4">
        <f t="shared" si="7"/>
        <v>0.11458333333575865</v>
      </c>
      <c r="K492" t="s">
        <v>200</v>
      </c>
      <c r="M492">
        <v>0</v>
      </c>
      <c r="N492" s="6">
        <v>9.7222222222222209E-4</v>
      </c>
      <c r="Q492" s="2" t="s">
        <v>19</v>
      </c>
    </row>
    <row r="493" spans="1:17" ht="68" x14ac:dyDescent="0.2">
      <c r="A493" t="s">
        <v>189</v>
      </c>
      <c r="B493" t="s">
        <v>90</v>
      </c>
      <c r="C493" t="s">
        <v>91</v>
      </c>
      <c r="D493" s="3">
        <v>44334</v>
      </c>
      <c r="E493" s="1">
        <v>44334.583310185182</v>
      </c>
      <c r="F493" t="s">
        <v>17</v>
      </c>
      <c r="G493" t="s">
        <v>69</v>
      </c>
      <c r="H493" s="1">
        <v>44334.541666666664</v>
      </c>
      <c r="I493" s="1">
        <v>44334.666666666664</v>
      </c>
      <c r="J493" s="4">
        <f t="shared" si="7"/>
        <v>0.125</v>
      </c>
      <c r="K493" t="s">
        <v>192</v>
      </c>
      <c r="M493">
        <v>0</v>
      </c>
      <c r="N493" s="6">
        <v>1.0995370370370371E-3</v>
      </c>
      <c r="Q493" s="2" t="s">
        <v>19</v>
      </c>
    </row>
    <row r="494" spans="1:17" ht="68" x14ac:dyDescent="0.2">
      <c r="A494" t="s">
        <v>189</v>
      </c>
      <c r="B494" t="s">
        <v>90</v>
      </c>
      <c r="C494" t="s">
        <v>91</v>
      </c>
      <c r="D494" s="3">
        <v>44334</v>
      </c>
      <c r="E494" s="1">
        <v>44334.591435185182</v>
      </c>
      <c r="F494" t="s">
        <v>17</v>
      </c>
      <c r="G494" t="s">
        <v>69</v>
      </c>
      <c r="H494" s="1">
        <v>44334.541666666664</v>
      </c>
      <c r="I494" s="1">
        <v>44334.666666666664</v>
      </c>
      <c r="J494" s="4">
        <f t="shared" si="7"/>
        <v>0.125</v>
      </c>
      <c r="K494" t="s">
        <v>192</v>
      </c>
      <c r="M494">
        <v>0</v>
      </c>
      <c r="N494" s="6">
        <v>3.0787037037037037E-3</v>
      </c>
      <c r="Q494" s="2" t="s">
        <v>19</v>
      </c>
    </row>
    <row r="495" spans="1:17" ht="68" x14ac:dyDescent="0.2">
      <c r="A495" t="s">
        <v>189</v>
      </c>
      <c r="B495" t="s">
        <v>90</v>
      </c>
      <c r="C495" t="s">
        <v>91</v>
      </c>
      <c r="D495" s="3">
        <v>44334</v>
      </c>
      <c r="E495" s="1">
        <v>44334.668182870373</v>
      </c>
      <c r="F495" t="s">
        <v>17</v>
      </c>
      <c r="G495" t="s">
        <v>69</v>
      </c>
      <c r="H495" s="1">
        <v>44334.541666666664</v>
      </c>
      <c r="I495" s="1">
        <v>44334.666666666664</v>
      </c>
      <c r="J495" s="4">
        <f t="shared" si="7"/>
        <v>0.125</v>
      </c>
      <c r="K495" t="s">
        <v>192</v>
      </c>
      <c r="M495">
        <v>0</v>
      </c>
      <c r="N495" s="6">
        <v>0</v>
      </c>
      <c r="Q495" s="2" t="s">
        <v>19</v>
      </c>
    </row>
    <row r="496" spans="1:17" ht="68" x14ac:dyDescent="0.2">
      <c r="A496" t="s">
        <v>189</v>
      </c>
      <c r="B496" t="s">
        <v>90</v>
      </c>
      <c r="C496" t="s">
        <v>91</v>
      </c>
      <c r="D496" s="3">
        <v>44335</v>
      </c>
      <c r="E496" s="1">
        <v>44335.380856481483</v>
      </c>
      <c r="F496" t="s">
        <v>17</v>
      </c>
      <c r="G496" t="s">
        <v>36</v>
      </c>
      <c r="H496" s="1">
        <v>44335.375</v>
      </c>
      <c r="I496" s="1">
        <v>44335.489583333336</v>
      </c>
      <c r="J496" s="4">
        <f t="shared" si="7"/>
        <v>0.11458333333575865</v>
      </c>
      <c r="K496" t="s">
        <v>197</v>
      </c>
      <c r="M496">
        <v>0</v>
      </c>
      <c r="N496" s="5" t="s">
        <v>144</v>
      </c>
      <c r="Q496" s="2" t="s">
        <v>19</v>
      </c>
    </row>
    <row r="497" spans="1:17" ht="68" x14ac:dyDescent="0.2">
      <c r="A497" t="s">
        <v>189</v>
      </c>
      <c r="B497" t="s">
        <v>90</v>
      </c>
      <c r="C497" t="s">
        <v>91</v>
      </c>
      <c r="D497" s="3">
        <v>44335</v>
      </c>
      <c r="E497" s="1">
        <v>44335.385798611111</v>
      </c>
      <c r="F497" t="s">
        <v>17</v>
      </c>
      <c r="G497" t="s">
        <v>36</v>
      </c>
      <c r="H497" s="1">
        <v>44335.375</v>
      </c>
      <c r="I497" s="1">
        <v>44335.489583333336</v>
      </c>
      <c r="J497" s="4">
        <f t="shared" si="7"/>
        <v>0.11458333333575865</v>
      </c>
      <c r="K497" t="s">
        <v>197</v>
      </c>
      <c r="M497">
        <v>0</v>
      </c>
      <c r="N497" s="6">
        <v>2.1759259259259258E-3</v>
      </c>
      <c r="Q497" s="2" t="s">
        <v>19</v>
      </c>
    </row>
    <row r="498" spans="1:17" ht="68" x14ac:dyDescent="0.2">
      <c r="A498" t="s">
        <v>189</v>
      </c>
      <c r="B498" t="s">
        <v>90</v>
      </c>
      <c r="C498" t="s">
        <v>91</v>
      </c>
      <c r="D498" s="3">
        <v>44335</v>
      </c>
      <c r="E498" s="1">
        <v>44335.400775462964</v>
      </c>
      <c r="F498" t="s">
        <v>17</v>
      </c>
      <c r="G498" t="s">
        <v>36</v>
      </c>
      <c r="H498" s="1">
        <v>44335.375</v>
      </c>
      <c r="I498" s="1">
        <v>44335.489583333336</v>
      </c>
      <c r="J498" s="4">
        <f t="shared" si="7"/>
        <v>0.11458333333575865</v>
      </c>
      <c r="K498" t="s">
        <v>197</v>
      </c>
      <c r="M498">
        <v>0</v>
      </c>
      <c r="N498" s="6">
        <v>1.0879629629629629E-3</v>
      </c>
      <c r="Q498" s="2" t="s">
        <v>19</v>
      </c>
    </row>
    <row r="499" spans="1:17" ht="68" x14ac:dyDescent="0.2">
      <c r="A499" t="s">
        <v>189</v>
      </c>
      <c r="B499" t="s">
        <v>90</v>
      </c>
      <c r="C499" t="s">
        <v>91</v>
      </c>
      <c r="D499" s="3">
        <v>44335</v>
      </c>
      <c r="E499" s="1">
        <v>44335.412222222221</v>
      </c>
      <c r="F499" t="s">
        <v>17</v>
      </c>
      <c r="G499" t="s">
        <v>36</v>
      </c>
      <c r="H499" s="1">
        <v>44335.375</v>
      </c>
      <c r="I499" s="1">
        <v>44335.489583333336</v>
      </c>
      <c r="J499" s="4">
        <f t="shared" si="7"/>
        <v>0.11458333333575865</v>
      </c>
      <c r="K499" t="s">
        <v>197</v>
      </c>
      <c r="M499">
        <v>0</v>
      </c>
      <c r="N499" s="6">
        <v>1.1574074074074073E-4</v>
      </c>
      <c r="Q499" s="2" t="s">
        <v>19</v>
      </c>
    </row>
    <row r="500" spans="1:17" ht="68" x14ac:dyDescent="0.2">
      <c r="A500" t="s">
        <v>189</v>
      </c>
      <c r="B500" t="s">
        <v>90</v>
      </c>
      <c r="C500" t="s">
        <v>91</v>
      </c>
      <c r="D500" s="3">
        <v>44335</v>
      </c>
      <c r="E500" s="1">
        <v>44335.413831018515</v>
      </c>
      <c r="F500" t="s">
        <v>17</v>
      </c>
      <c r="G500" t="s">
        <v>36</v>
      </c>
      <c r="H500" s="1">
        <v>44335.375</v>
      </c>
      <c r="I500" s="1">
        <v>44335.489583333336</v>
      </c>
      <c r="J500" s="4">
        <f t="shared" si="7"/>
        <v>0.11458333333575865</v>
      </c>
      <c r="K500" t="s">
        <v>197</v>
      </c>
      <c r="M500">
        <v>0</v>
      </c>
      <c r="N500" s="6">
        <v>3.8194444444444446E-4</v>
      </c>
      <c r="Q500" s="2" t="s">
        <v>19</v>
      </c>
    </row>
    <row r="501" spans="1:17" ht="68" x14ac:dyDescent="0.2">
      <c r="A501" t="s">
        <v>189</v>
      </c>
      <c r="B501" t="s">
        <v>90</v>
      </c>
      <c r="C501" t="s">
        <v>91</v>
      </c>
      <c r="D501" s="3">
        <v>44335</v>
      </c>
      <c r="E501" s="1">
        <v>44335.417731481481</v>
      </c>
      <c r="F501" t="s">
        <v>17</v>
      </c>
      <c r="G501" t="s">
        <v>36</v>
      </c>
      <c r="H501" s="1">
        <v>44335.375</v>
      </c>
      <c r="I501" s="1">
        <v>44335.489583333336</v>
      </c>
      <c r="J501" s="4">
        <f t="shared" si="7"/>
        <v>0.11458333333575865</v>
      </c>
      <c r="K501" t="s">
        <v>197</v>
      </c>
      <c r="M501">
        <v>0</v>
      </c>
      <c r="N501" s="6">
        <v>3.1828703703703702E-3</v>
      </c>
      <c r="Q501" s="2" t="s">
        <v>19</v>
      </c>
    </row>
    <row r="502" spans="1:17" ht="68" x14ac:dyDescent="0.2">
      <c r="A502" t="s">
        <v>189</v>
      </c>
      <c r="B502" t="s">
        <v>90</v>
      </c>
      <c r="C502" t="s">
        <v>91</v>
      </c>
      <c r="D502" s="3">
        <v>44335</v>
      </c>
      <c r="E502" s="1">
        <v>44335.420949074076</v>
      </c>
      <c r="F502" t="s">
        <v>17</v>
      </c>
      <c r="G502" t="s">
        <v>36</v>
      </c>
      <c r="H502" s="1">
        <v>44335.375</v>
      </c>
      <c r="I502" s="1">
        <v>44335.489583333336</v>
      </c>
      <c r="J502" s="4">
        <f t="shared" si="7"/>
        <v>0.11458333333575865</v>
      </c>
      <c r="K502" t="s">
        <v>197</v>
      </c>
      <c r="M502">
        <v>0</v>
      </c>
      <c r="N502" s="6">
        <v>3.1481481481481482E-3</v>
      </c>
      <c r="Q502" s="2" t="s">
        <v>19</v>
      </c>
    </row>
    <row r="503" spans="1:17" ht="68" x14ac:dyDescent="0.2">
      <c r="A503" t="s">
        <v>189</v>
      </c>
      <c r="B503" t="s">
        <v>90</v>
      </c>
      <c r="C503" t="s">
        <v>91</v>
      </c>
      <c r="D503" s="3">
        <v>44335</v>
      </c>
      <c r="E503" s="1">
        <v>44335.423645833333</v>
      </c>
      <c r="F503" t="s">
        <v>17</v>
      </c>
      <c r="G503" t="s">
        <v>36</v>
      </c>
      <c r="H503" s="1">
        <v>44335.375</v>
      </c>
      <c r="I503" s="1">
        <v>44335.489583333336</v>
      </c>
      <c r="J503" s="4">
        <f t="shared" si="7"/>
        <v>0.11458333333575865</v>
      </c>
      <c r="K503" t="s">
        <v>197</v>
      </c>
      <c r="M503">
        <v>0</v>
      </c>
      <c r="N503" s="6">
        <v>2.3148148148148151E-3</v>
      </c>
      <c r="Q503" s="2" t="s">
        <v>19</v>
      </c>
    </row>
    <row r="504" spans="1:17" ht="68" x14ac:dyDescent="0.2">
      <c r="A504" t="s">
        <v>189</v>
      </c>
      <c r="B504" t="s">
        <v>90</v>
      </c>
      <c r="C504" t="s">
        <v>91</v>
      </c>
      <c r="D504" s="3">
        <v>44335</v>
      </c>
      <c r="E504" s="1">
        <v>44335.438333333332</v>
      </c>
      <c r="F504" t="s">
        <v>17</v>
      </c>
      <c r="G504" t="s">
        <v>36</v>
      </c>
      <c r="H504" s="1">
        <v>44335.375</v>
      </c>
      <c r="I504" s="1">
        <v>44335.489583333336</v>
      </c>
      <c r="J504" s="4">
        <f t="shared" si="7"/>
        <v>0.11458333333575865</v>
      </c>
      <c r="K504" t="s">
        <v>197</v>
      </c>
      <c r="M504">
        <v>0</v>
      </c>
      <c r="N504" s="6">
        <v>2.9976851851851848E-3</v>
      </c>
      <c r="Q504" s="2" t="s">
        <v>19</v>
      </c>
    </row>
    <row r="505" spans="1:17" ht="68" x14ac:dyDescent="0.2">
      <c r="A505" t="s">
        <v>189</v>
      </c>
      <c r="B505" t="s">
        <v>90</v>
      </c>
      <c r="C505" t="s">
        <v>91</v>
      </c>
      <c r="D505" s="3">
        <v>44335</v>
      </c>
      <c r="E505" s="1">
        <v>44335.61409722222</v>
      </c>
      <c r="F505" t="s">
        <v>17</v>
      </c>
      <c r="G505" t="s">
        <v>70</v>
      </c>
      <c r="H505" s="1">
        <v>44335.53125</v>
      </c>
      <c r="I505" s="1">
        <v>44335.65625</v>
      </c>
      <c r="J505" s="4">
        <f t="shared" si="7"/>
        <v>0.125</v>
      </c>
      <c r="K505" t="s">
        <v>200</v>
      </c>
      <c r="M505">
        <v>0</v>
      </c>
      <c r="N505" s="6">
        <v>8.9120370370370362E-4</v>
      </c>
      <c r="Q505" s="2" t="s">
        <v>19</v>
      </c>
    </row>
    <row r="506" spans="1:17" ht="68" x14ac:dyDescent="0.2">
      <c r="A506" t="s">
        <v>189</v>
      </c>
      <c r="B506" t="s">
        <v>90</v>
      </c>
      <c r="C506" t="s">
        <v>91</v>
      </c>
      <c r="D506" s="3">
        <v>44335</v>
      </c>
      <c r="E506" s="1">
        <v>44335.615925925929</v>
      </c>
      <c r="F506" t="s">
        <v>17</v>
      </c>
      <c r="G506" t="s">
        <v>70</v>
      </c>
      <c r="H506" s="1">
        <v>44335.53125</v>
      </c>
      <c r="I506" s="1">
        <v>44335.65625</v>
      </c>
      <c r="J506" s="4">
        <f t="shared" si="7"/>
        <v>0.125</v>
      </c>
      <c r="K506" t="s">
        <v>200</v>
      </c>
      <c r="M506">
        <v>0</v>
      </c>
      <c r="N506" s="6">
        <v>1.7939814814814815E-3</v>
      </c>
      <c r="Q506" s="2" t="s">
        <v>19</v>
      </c>
    </row>
    <row r="507" spans="1:17" ht="68" x14ac:dyDescent="0.2">
      <c r="A507" t="s">
        <v>189</v>
      </c>
      <c r="B507" t="s">
        <v>90</v>
      </c>
      <c r="C507" t="s">
        <v>91</v>
      </c>
      <c r="D507" s="3">
        <v>44336</v>
      </c>
      <c r="E507" s="1">
        <v>44336.488437499997</v>
      </c>
      <c r="F507" t="s">
        <v>17</v>
      </c>
      <c r="G507" t="s">
        <v>52</v>
      </c>
      <c r="H507" s="1">
        <v>44336.375</v>
      </c>
      <c r="I507" s="1">
        <v>44336.489583333336</v>
      </c>
      <c r="J507" s="4">
        <f t="shared" si="7"/>
        <v>0.11458333333575865</v>
      </c>
      <c r="K507" t="s">
        <v>200</v>
      </c>
      <c r="M507">
        <v>0</v>
      </c>
      <c r="N507" s="6">
        <v>0</v>
      </c>
      <c r="Q507" s="2" t="s">
        <v>19</v>
      </c>
    </row>
    <row r="508" spans="1:17" ht="68" x14ac:dyDescent="0.2">
      <c r="A508" t="s">
        <v>189</v>
      </c>
      <c r="B508" t="s">
        <v>90</v>
      </c>
      <c r="C508" t="s">
        <v>91</v>
      </c>
      <c r="D508" s="3">
        <v>44336</v>
      </c>
      <c r="E508" s="1">
        <v>44336.562349537038</v>
      </c>
      <c r="F508" t="s">
        <v>17</v>
      </c>
      <c r="G508" t="s">
        <v>59</v>
      </c>
      <c r="H508" s="1">
        <v>44336.53125</v>
      </c>
      <c r="I508" s="1">
        <v>44336.65625</v>
      </c>
      <c r="J508" s="4">
        <f t="shared" si="7"/>
        <v>0.125</v>
      </c>
      <c r="K508" t="s">
        <v>192</v>
      </c>
      <c r="M508">
        <v>0</v>
      </c>
      <c r="N508" s="6">
        <v>3.0092592592592595E-4</v>
      </c>
      <c r="Q508" s="2" t="s">
        <v>19</v>
      </c>
    </row>
    <row r="509" spans="1:17" ht="68" x14ac:dyDescent="0.2">
      <c r="A509" t="s">
        <v>189</v>
      </c>
      <c r="B509" t="s">
        <v>90</v>
      </c>
      <c r="C509" t="s">
        <v>91</v>
      </c>
      <c r="D509" s="3">
        <v>44336</v>
      </c>
      <c r="E509" s="1">
        <v>44336.563043981485</v>
      </c>
      <c r="F509" t="s">
        <v>17</v>
      </c>
      <c r="G509" t="s">
        <v>59</v>
      </c>
      <c r="H509" s="1">
        <v>44336.53125</v>
      </c>
      <c r="I509" s="1">
        <v>44336.65625</v>
      </c>
      <c r="J509" s="4">
        <f t="shared" si="7"/>
        <v>0.125</v>
      </c>
      <c r="K509" t="s">
        <v>192</v>
      </c>
      <c r="M509">
        <v>0</v>
      </c>
      <c r="N509" s="6">
        <v>2.5462962962962961E-4</v>
      </c>
      <c r="Q509" s="2" t="s">
        <v>19</v>
      </c>
    </row>
    <row r="510" spans="1:17" ht="68" x14ac:dyDescent="0.2">
      <c r="A510" t="s">
        <v>189</v>
      </c>
      <c r="B510" t="s">
        <v>90</v>
      </c>
      <c r="C510" t="s">
        <v>91</v>
      </c>
      <c r="D510" s="3">
        <v>44337</v>
      </c>
      <c r="E510" s="1">
        <v>44337.412453703706</v>
      </c>
      <c r="F510" t="s">
        <v>17</v>
      </c>
      <c r="G510" t="s">
        <v>44</v>
      </c>
      <c r="H510" s="1">
        <v>44337.375</v>
      </c>
      <c r="I510" s="1">
        <v>44337.489583333336</v>
      </c>
      <c r="J510" s="4">
        <f t="shared" si="7"/>
        <v>0.11458333333575865</v>
      </c>
      <c r="K510" t="s">
        <v>199</v>
      </c>
      <c r="M510">
        <v>0</v>
      </c>
      <c r="N510" s="6">
        <v>2.9861111111111113E-3</v>
      </c>
      <c r="Q510" s="2" t="s">
        <v>19</v>
      </c>
    </row>
    <row r="511" spans="1:17" ht="68" x14ac:dyDescent="0.2">
      <c r="A511" t="s">
        <v>189</v>
      </c>
      <c r="B511" t="s">
        <v>90</v>
      </c>
      <c r="C511" t="s">
        <v>91</v>
      </c>
      <c r="D511" s="3">
        <v>44337</v>
      </c>
      <c r="E511" s="1">
        <v>44337.414259259262</v>
      </c>
      <c r="F511" t="s">
        <v>17</v>
      </c>
      <c r="G511" t="s">
        <v>44</v>
      </c>
      <c r="H511" s="1">
        <v>44337.375</v>
      </c>
      <c r="I511" s="1">
        <v>44337.489583333336</v>
      </c>
      <c r="J511" s="4">
        <f t="shared" si="7"/>
        <v>0.11458333333575865</v>
      </c>
      <c r="K511" t="s">
        <v>199</v>
      </c>
      <c r="M511">
        <v>0</v>
      </c>
      <c r="N511" s="6">
        <v>4.2824074074074075E-4</v>
      </c>
      <c r="Q511" s="2" t="s">
        <v>19</v>
      </c>
    </row>
    <row r="512" spans="1:17" ht="68" x14ac:dyDescent="0.2">
      <c r="A512" t="s">
        <v>189</v>
      </c>
      <c r="B512" t="s">
        <v>90</v>
      </c>
      <c r="C512" t="s">
        <v>91</v>
      </c>
      <c r="D512" s="3">
        <v>44337</v>
      </c>
      <c r="E512" s="1">
        <v>44337.416319444441</v>
      </c>
      <c r="F512" t="s">
        <v>17</v>
      </c>
      <c r="G512" t="s">
        <v>44</v>
      </c>
      <c r="H512" s="1">
        <v>44337.375</v>
      </c>
      <c r="I512" s="1">
        <v>44337.489583333336</v>
      </c>
      <c r="J512" s="4">
        <f t="shared" si="7"/>
        <v>0.11458333333575865</v>
      </c>
      <c r="K512" t="s">
        <v>199</v>
      </c>
      <c r="M512">
        <v>0</v>
      </c>
      <c r="N512" s="6">
        <v>3.4722222222222224E-4</v>
      </c>
      <c r="Q512" s="2" t="s">
        <v>19</v>
      </c>
    </row>
    <row r="513" spans="1:17" ht="68" x14ac:dyDescent="0.2">
      <c r="A513" t="s">
        <v>189</v>
      </c>
      <c r="B513" t="s">
        <v>90</v>
      </c>
      <c r="C513" t="s">
        <v>91</v>
      </c>
      <c r="D513" s="3">
        <v>44337</v>
      </c>
      <c r="E513" s="1">
        <v>44337.420925925922</v>
      </c>
      <c r="F513" t="s">
        <v>17</v>
      </c>
      <c r="G513" t="s">
        <v>44</v>
      </c>
      <c r="H513" s="1">
        <v>44337.375</v>
      </c>
      <c r="I513" s="1">
        <v>44337.489583333336</v>
      </c>
      <c r="J513" s="4">
        <f t="shared" si="7"/>
        <v>0.11458333333575865</v>
      </c>
      <c r="K513" t="s">
        <v>199</v>
      </c>
      <c r="M513">
        <v>0</v>
      </c>
      <c r="N513" s="6">
        <v>8.449074074074075E-4</v>
      </c>
      <c r="Q513" s="2" t="s">
        <v>19</v>
      </c>
    </row>
    <row r="514" spans="1:17" ht="68" x14ac:dyDescent="0.2">
      <c r="A514" t="s">
        <v>189</v>
      </c>
      <c r="B514" t="s">
        <v>90</v>
      </c>
      <c r="C514" t="s">
        <v>91</v>
      </c>
      <c r="D514" s="3">
        <v>44338</v>
      </c>
      <c r="E514" s="1">
        <v>44338.399351851855</v>
      </c>
      <c r="F514" t="s">
        <v>17</v>
      </c>
      <c r="G514" t="s">
        <v>47</v>
      </c>
      <c r="H514" s="1">
        <v>44338.375</v>
      </c>
      <c r="I514" s="1">
        <v>44338.489583333336</v>
      </c>
      <c r="J514" s="4">
        <f t="shared" si="7"/>
        <v>0.11458333333575865</v>
      </c>
      <c r="K514" t="s">
        <v>209</v>
      </c>
      <c r="M514">
        <v>0</v>
      </c>
      <c r="N514" s="6">
        <v>0</v>
      </c>
      <c r="Q514" s="2" t="s">
        <v>19</v>
      </c>
    </row>
    <row r="515" spans="1:17" ht="68" x14ac:dyDescent="0.2">
      <c r="A515" t="s">
        <v>189</v>
      </c>
      <c r="B515" t="s">
        <v>90</v>
      </c>
      <c r="C515" t="s">
        <v>91</v>
      </c>
      <c r="D515" s="3">
        <v>44338</v>
      </c>
      <c r="E515" s="1">
        <v>44338.401296296295</v>
      </c>
      <c r="F515" t="s">
        <v>17</v>
      </c>
      <c r="G515" t="s">
        <v>47</v>
      </c>
      <c r="H515" s="1">
        <v>44338.375</v>
      </c>
      <c r="I515" s="1">
        <v>44338.489583333336</v>
      </c>
      <c r="J515" s="4">
        <f t="shared" ref="J515:J578" si="8">IF($I515="","",$I515-$H515)</f>
        <v>0.11458333333575865</v>
      </c>
      <c r="K515" t="s">
        <v>209</v>
      </c>
      <c r="M515">
        <v>0</v>
      </c>
      <c r="N515" s="6">
        <v>0</v>
      </c>
      <c r="Q515" s="2" t="s">
        <v>19</v>
      </c>
    </row>
    <row r="516" spans="1:17" ht="68" x14ac:dyDescent="0.2">
      <c r="A516" t="s">
        <v>189</v>
      </c>
      <c r="B516" t="s">
        <v>90</v>
      </c>
      <c r="C516" t="s">
        <v>91</v>
      </c>
      <c r="D516" s="3">
        <v>44338</v>
      </c>
      <c r="E516" s="1">
        <v>44338.401319444441</v>
      </c>
      <c r="F516" t="s">
        <v>17</v>
      </c>
      <c r="G516" t="s">
        <v>47</v>
      </c>
      <c r="H516" s="1">
        <v>44338.375</v>
      </c>
      <c r="I516" s="1">
        <v>44338.489583333336</v>
      </c>
      <c r="J516" s="4">
        <f t="shared" si="8"/>
        <v>0.11458333333575865</v>
      </c>
      <c r="K516" t="s">
        <v>209</v>
      </c>
      <c r="M516">
        <v>0</v>
      </c>
      <c r="N516" s="6">
        <v>0</v>
      </c>
      <c r="Q516" s="2" t="s">
        <v>19</v>
      </c>
    </row>
    <row r="517" spans="1:17" ht="68" x14ac:dyDescent="0.2">
      <c r="A517" t="s">
        <v>189</v>
      </c>
      <c r="B517" t="s">
        <v>90</v>
      </c>
      <c r="C517" t="s">
        <v>91</v>
      </c>
      <c r="D517" s="3">
        <v>44338</v>
      </c>
      <c r="E517" s="1">
        <v>44338.404328703706</v>
      </c>
      <c r="F517" t="s">
        <v>17</v>
      </c>
      <c r="G517" t="s">
        <v>47</v>
      </c>
      <c r="H517" s="1">
        <v>44338.375</v>
      </c>
      <c r="I517" s="1">
        <v>44338.489583333336</v>
      </c>
      <c r="J517" s="4">
        <f t="shared" si="8"/>
        <v>0.11458333333575865</v>
      </c>
      <c r="K517" t="s">
        <v>209</v>
      </c>
      <c r="M517">
        <v>0</v>
      </c>
      <c r="N517" s="6">
        <v>2.9976851851851848E-3</v>
      </c>
      <c r="O517" t="s">
        <v>102</v>
      </c>
      <c r="P517" t="s">
        <v>89</v>
      </c>
      <c r="Q517" s="2" t="s">
        <v>19</v>
      </c>
    </row>
    <row r="518" spans="1:17" ht="68" x14ac:dyDescent="0.2">
      <c r="A518" t="s">
        <v>189</v>
      </c>
      <c r="B518" t="s">
        <v>90</v>
      </c>
      <c r="C518" t="s">
        <v>91</v>
      </c>
      <c r="D518" s="3">
        <v>44338</v>
      </c>
      <c r="E518" s="1">
        <v>44338.405902777777</v>
      </c>
      <c r="F518" t="s">
        <v>17</v>
      </c>
      <c r="G518" t="s">
        <v>47</v>
      </c>
      <c r="H518" s="1">
        <v>44338.375</v>
      </c>
      <c r="I518" s="1">
        <v>44338.489583333336</v>
      </c>
      <c r="J518" s="4">
        <f t="shared" si="8"/>
        <v>0.11458333333575865</v>
      </c>
      <c r="K518" t="s">
        <v>209</v>
      </c>
      <c r="M518">
        <v>0</v>
      </c>
      <c r="N518" s="6">
        <v>0</v>
      </c>
      <c r="Q518" s="2" t="s">
        <v>19</v>
      </c>
    </row>
    <row r="519" spans="1:17" ht="68" x14ac:dyDescent="0.2">
      <c r="A519" t="s">
        <v>189</v>
      </c>
      <c r="B519" t="s">
        <v>90</v>
      </c>
      <c r="C519" t="s">
        <v>91</v>
      </c>
      <c r="D519" s="3">
        <v>44338</v>
      </c>
      <c r="E519" s="1">
        <v>44338.407743055555</v>
      </c>
      <c r="F519" t="s">
        <v>17</v>
      </c>
      <c r="G519" t="s">
        <v>47</v>
      </c>
      <c r="H519" s="1">
        <v>44338.375</v>
      </c>
      <c r="I519" s="1">
        <v>44338.489583333336</v>
      </c>
      <c r="J519" s="4">
        <f t="shared" si="8"/>
        <v>0.11458333333575865</v>
      </c>
      <c r="K519" t="s">
        <v>209</v>
      </c>
      <c r="M519">
        <v>0</v>
      </c>
      <c r="N519" s="6">
        <v>1.8055555555555557E-3</v>
      </c>
      <c r="Q519" s="2" t="s">
        <v>19</v>
      </c>
    </row>
    <row r="520" spans="1:17" ht="68" x14ac:dyDescent="0.2">
      <c r="A520" t="s">
        <v>189</v>
      </c>
      <c r="B520" t="s">
        <v>90</v>
      </c>
      <c r="C520" t="s">
        <v>91</v>
      </c>
      <c r="D520" s="3">
        <v>44338</v>
      </c>
      <c r="E520" s="1">
        <v>44338.408206018517</v>
      </c>
      <c r="F520" t="s">
        <v>17</v>
      </c>
      <c r="G520" t="s">
        <v>47</v>
      </c>
      <c r="H520" s="1">
        <v>44338.375</v>
      </c>
      <c r="I520" s="1">
        <v>44338.489583333336</v>
      </c>
      <c r="J520" s="4">
        <f t="shared" si="8"/>
        <v>0.11458333333575865</v>
      </c>
      <c r="K520" t="s">
        <v>209</v>
      </c>
      <c r="M520">
        <v>0</v>
      </c>
      <c r="N520" s="6">
        <v>0</v>
      </c>
      <c r="O520" t="s">
        <v>102</v>
      </c>
      <c r="P520" t="s">
        <v>89</v>
      </c>
      <c r="Q520" s="2" t="s">
        <v>19</v>
      </c>
    </row>
    <row r="521" spans="1:17" ht="68" x14ac:dyDescent="0.2">
      <c r="A521" t="s">
        <v>189</v>
      </c>
      <c r="B521" t="s">
        <v>90</v>
      </c>
      <c r="C521" t="s">
        <v>91</v>
      </c>
      <c r="D521" s="3">
        <v>44338</v>
      </c>
      <c r="E521" s="1">
        <v>44338.414189814815</v>
      </c>
      <c r="F521" t="s">
        <v>17</v>
      </c>
      <c r="G521" t="s">
        <v>47</v>
      </c>
      <c r="H521" s="1">
        <v>44338.375</v>
      </c>
      <c r="I521" s="1">
        <v>44338.489583333336</v>
      </c>
      <c r="J521" s="4">
        <f t="shared" si="8"/>
        <v>0.11458333333575865</v>
      </c>
      <c r="K521" t="s">
        <v>209</v>
      </c>
      <c r="M521">
        <v>0</v>
      </c>
      <c r="N521" s="6">
        <v>3.1481481481481482E-3</v>
      </c>
      <c r="O521" t="s">
        <v>102</v>
      </c>
      <c r="P521" t="s">
        <v>89</v>
      </c>
      <c r="Q521" s="2" t="s">
        <v>19</v>
      </c>
    </row>
    <row r="522" spans="1:17" ht="68" x14ac:dyDescent="0.2">
      <c r="A522" t="s">
        <v>189</v>
      </c>
      <c r="B522" t="s">
        <v>90</v>
      </c>
      <c r="C522" t="s">
        <v>91</v>
      </c>
      <c r="D522" s="3">
        <v>44338</v>
      </c>
      <c r="E522" s="1">
        <v>44338.42460648148</v>
      </c>
      <c r="F522" t="s">
        <v>17</v>
      </c>
      <c r="G522" t="s">
        <v>47</v>
      </c>
      <c r="H522" s="1">
        <v>44338.375</v>
      </c>
      <c r="I522" s="1">
        <v>44338.489583333336</v>
      </c>
      <c r="J522" s="4">
        <f t="shared" si="8"/>
        <v>0.11458333333575865</v>
      </c>
      <c r="K522" t="s">
        <v>209</v>
      </c>
      <c r="M522">
        <v>0</v>
      </c>
      <c r="N522" s="6">
        <v>1.0381944444444444E-2</v>
      </c>
      <c r="O522" t="s">
        <v>102</v>
      </c>
      <c r="Q522" s="2" t="s">
        <v>19</v>
      </c>
    </row>
    <row r="523" spans="1:17" ht="68" x14ac:dyDescent="0.2">
      <c r="A523" t="s">
        <v>189</v>
      </c>
      <c r="B523" t="s">
        <v>90</v>
      </c>
      <c r="C523" t="s">
        <v>91</v>
      </c>
      <c r="D523" s="3">
        <v>44338</v>
      </c>
      <c r="E523" s="1">
        <v>44338.450208333335</v>
      </c>
      <c r="F523" t="s">
        <v>17</v>
      </c>
      <c r="G523" t="s">
        <v>47</v>
      </c>
      <c r="H523" s="1">
        <v>44338.375</v>
      </c>
      <c r="I523" s="1">
        <v>44338.489583333336</v>
      </c>
      <c r="J523" s="4">
        <f t="shared" si="8"/>
        <v>0.11458333333575865</v>
      </c>
      <c r="K523" t="s">
        <v>209</v>
      </c>
      <c r="M523">
        <v>0</v>
      </c>
      <c r="N523" s="6">
        <v>3.4490740740740745E-3</v>
      </c>
      <c r="O523" t="s">
        <v>88</v>
      </c>
      <c r="P523" t="s">
        <v>89</v>
      </c>
      <c r="Q523" s="2" t="s">
        <v>19</v>
      </c>
    </row>
    <row r="524" spans="1:17" ht="68" x14ac:dyDescent="0.2">
      <c r="A524" t="s">
        <v>189</v>
      </c>
      <c r="B524" t="s">
        <v>90</v>
      </c>
      <c r="C524" t="s">
        <v>91</v>
      </c>
      <c r="D524" s="3">
        <v>44338</v>
      </c>
      <c r="E524" s="1">
        <v>44338.455497685187</v>
      </c>
      <c r="F524" t="s">
        <v>17</v>
      </c>
      <c r="G524" t="s">
        <v>47</v>
      </c>
      <c r="H524" s="1">
        <v>44338.375</v>
      </c>
      <c r="I524" s="1">
        <v>44338.489583333336</v>
      </c>
      <c r="J524" s="4">
        <f t="shared" si="8"/>
        <v>0.11458333333575865</v>
      </c>
      <c r="K524" t="s">
        <v>209</v>
      </c>
      <c r="M524">
        <v>0</v>
      </c>
      <c r="N524" s="6">
        <v>3.1481481481481482E-3</v>
      </c>
      <c r="O524" t="s">
        <v>102</v>
      </c>
      <c r="P524" t="s">
        <v>89</v>
      </c>
      <c r="Q524" s="2" t="s">
        <v>19</v>
      </c>
    </row>
    <row r="525" spans="1:17" ht="68" x14ac:dyDescent="0.2">
      <c r="A525" t="s">
        <v>189</v>
      </c>
      <c r="B525" t="s">
        <v>90</v>
      </c>
      <c r="C525" t="s">
        <v>91</v>
      </c>
      <c r="D525" s="3">
        <v>44338</v>
      </c>
      <c r="E525" s="1">
        <v>44338.458923611113</v>
      </c>
      <c r="F525" t="s">
        <v>17</v>
      </c>
      <c r="G525" t="s">
        <v>47</v>
      </c>
      <c r="H525" s="1">
        <v>44338.375</v>
      </c>
      <c r="I525" s="1">
        <v>44338.489583333336</v>
      </c>
      <c r="J525" s="4">
        <f t="shared" si="8"/>
        <v>0.11458333333575865</v>
      </c>
      <c r="K525" t="s">
        <v>209</v>
      </c>
      <c r="M525">
        <v>0</v>
      </c>
      <c r="N525" s="6">
        <v>2.6967592592592594E-3</v>
      </c>
      <c r="O525" t="s">
        <v>88</v>
      </c>
      <c r="P525" t="s">
        <v>89</v>
      </c>
      <c r="Q525" s="2" t="s">
        <v>19</v>
      </c>
    </row>
    <row r="526" spans="1:17" ht="68" x14ac:dyDescent="0.2">
      <c r="A526" t="s">
        <v>189</v>
      </c>
      <c r="B526" t="s">
        <v>90</v>
      </c>
      <c r="C526" t="s">
        <v>91</v>
      </c>
      <c r="D526" s="3">
        <v>44338</v>
      </c>
      <c r="E526" s="1">
        <v>44338.462037037039</v>
      </c>
      <c r="F526" t="s">
        <v>17</v>
      </c>
      <c r="G526" t="s">
        <v>47</v>
      </c>
      <c r="H526" s="1">
        <v>44338.375</v>
      </c>
      <c r="I526" s="1">
        <v>44338.489583333336</v>
      </c>
      <c r="J526" s="4">
        <f t="shared" si="8"/>
        <v>0.11458333333575865</v>
      </c>
      <c r="K526" t="s">
        <v>209</v>
      </c>
      <c r="M526">
        <v>0</v>
      </c>
      <c r="N526" s="6">
        <v>1.3541666666666667E-3</v>
      </c>
      <c r="Q526" s="2" t="s">
        <v>19</v>
      </c>
    </row>
    <row r="527" spans="1:17" ht="68" x14ac:dyDescent="0.2">
      <c r="A527" t="s">
        <v>189</v>
      </c>
      <c r="B527" t="s">
        <v>90</v>
      </c>
      <c r="C527" t="s">
        <v>91</v>
      </c>
      <c r="D527" s="3">
        <v>44338</v>
      </c>
      <c r="E527" s="1">
        <v>44338.464756944442</v>
      </c>
      <c r="F527" t="s">
        <v>17</v>
      </c>
      <c r="G527" t="s">
        <v>47</v>
      </c>
      <c r="H527" s="1">
        <v>44338.375</v>
      </c>
      <c r="I527" s="1">
        <v>44338.489583333336</v>
      </c>
      <c r="J527" s="4">
        <f t="shared" si="8"/>
        <v>0.11458333333575865</v>
      </c>
      <c r="K527" t="s">
        <v>209</v>
      </c>
      <c r="M527">
        <v>0</v>
      </c>
      <c r="N527" s="6">
        <v>1.9675925925925926E-4</v>
      </c>
      <c r="O527" t="s">
        <v>103</v>
      </c>
      <c r="P527" t="s">
        <v>86</v>
      </c>
      <c r="Q527" s="2" t="s">
        <v>19</v>
      </c>
    </row>
    <row r="528" spans="1:17" ht="68" x14ac:dyDescent="0.2">
      <c r="A528" t="s">
        <v>189</v>
      </c>
      <c r="B528" t="s">
        <v>90</v>
      </c>
      <c r="C528" t="s">
        <v>91</v>
      </c>
      <c r="D528" s="3">
        <v>44338</v>
      </c>
      <c r="E528" s="1">
        <v>44338.465844907405</v>
      </c>
      <c r="F528" t="s">
        <v>17</v>
      </c>
      <c r="G528" t="s">
        <v>47</v>
      </c>
      <c r="H528" s="1">
        <v>44338.375</v>
      </c>
      <c r="I528" s="1">
        <v>44338.489583333336</v>
      </c>
      <c r="J528" s="4">
        <f t="shared" si="8"/>
        <v>0.11458333333575865</v>
      </c>
      <c r="K528" t="s">
        <v>209</v>
      </c>
      <c r="M528">
        <v>0</v>
      </c>
      <c r="N528" s="6">
        <v>6.134259259259259E-4</v>
      </c>
      <c r="O528" t="s">
        <v>88</v>
      </c>
      <c r="P528" t="s">
        <v>89</v>
      </c>
      <c r="Q528" s="2" t="s">
        <v>19</v>
      </c>
    </row>
    <row r="529" spans="1:17" ht="68" x14ac:dyDescent="0.2">
      <c r="A529" t="s">
        <v>189</v>
      </c>
      <c r="B529" t="s">
        <v>90</v>
      </c>
      <c r="C529" t="s">
        <v>91</v>
      </c>
      <c r="D529" s="3">
        <v>44340</v>
      </c>
      <c r="E529" s="1">
        <v>44340.417754629627</v>
      </c>
      <c r="F529" t="s">
        <v>17</v>
      </c>
      <c r="G529" t="s">
        <v>71</v>
      </c>
      <c r="H529" s="1">
        <v>44340.375</v>
      </c>
      <c r="I529" s="1">
        <v>44340.489583333336</v>
      </c>
      <c r="J529" s="4">
        <f t="shared" si="8"/>
        <v>0.11458333333575865</v>
      </c>
      <c r="K529" t="s">
        <v>211</v>
      </c>
      <c r="M529">
        <v>0</v>
      </c>
      <c r="N529" s="6">
        <v>7.0601851851851847E-4</v>
      </c>
      <c r="Q529" s="2" t="s">
        <v>19</v>
      </c>
    </row>
    <row r="530" spans="1:17" ht="68" x14ac:dyDescent="0.2">
      <c r="A530" t="s">
        <v>189</v>
      </c>
      <c r="B530" t="s">
        <v>90</v>
      </c>
      <c r="C530" t="s">
        <v>91</v>
      </c>
      <c r="D530" s="3">
        <v>44340</v>
      </c>
      <c r="E530" s="1">
        <v>44340.418541666666</v>
      </c>
      <c r="F530" t="s">
        <v>17</v>
      </c>
      <c r="G530" t="s">
        <v>71</v>
      </c>
      <c r="H530" s="1">
        <v>44340.375</v>
      </c>
      <c r="I530" s="1">
        <v>44340.489583333336</v>
      </c>
      <c r="J530" s="4">
        <f t="shared" si="8"/>
        <v>0.11458333333575865</v>
      </c>
      <c r="K530" t="s">
        <v>211</v>
      </c>
      <c r="M530">
        <v>0</v>
      </c>
      <c r="N530" s="6">
        <v>7.407407407407407E-4</v>
      </c>
      <c r="Q530" s="2" t="s">
        <v>19</v>
      </c>
    </row>
    <row r="531" spans="1:17" ht="68" x14ac:dyDescent="0.2">
      <c r="A531" t="s">
        <v>189</v>
      </c>
      <c r="B531" t="s">
        <v>90</v>
      </c>
      <c r="C531" t="s">
        <v>91</v>
      </c>
      <c r="D531" s="3">
        <v>44340</v>
      </c>
      <c r="E531" s="1">
        <v>44340.426527777781</v>
      </c>
      <c r="F531" t="s">
        <v>17</v>
      </c>
      <c r="G531" t="s">
        <v>71</v>
      </c>
      <c r="H531" s="1">
        <v>44340.375</v>
      </c>
      <c r="I531" s="1">
        <v>44340.489583333336</v>
      </c>
      <c r="J531" s="4">
        <f t="shared" si="8"/>
        <v>0.11458333333575865</v>
      </c>
      <c r="K531" t="s">
        <v>211</v>
      </c>
      <c r="M531">
        <v>0</v>
      </c>
      <c r="N531" s="6">
        <v>5.5555555555555558E-3</v>
      </c>
      <c r="Q531" s="2" t="s">
        <v>19</v>
      </c>
    </row>
    <row r="532" spans="1:17" ht="68" x14ac:dyDescent="0.2">
      <c r="A532" t="s">
        <v>189</v>
      </c>
      <c r="B532" t="s">
        <v>90</v>
      </c>
      <c r="C532" t="s">
        <v>91</v>
      </c>
      <c r="D532" s="3">
        <v>44340</v>
      </c>
      <c r="E532" s="1">
        <v>44340.498935185184</v>
      </c>
      <c r="F532" t="s">
        <v>17</v>
      </c>
      <c r="G532" t="s">
        <v>71</v>
      </c>
      <c r="H532" s="1">
        <v>44340.375</v>
      </c>
      <c r="I532" s="1">
        <v>44340.489583333336</v>
      </c>
      <c r="J532" s="4">
        <f t="shared" si="8"/>
        <v>0.11458333333575865</v>
      </c>
      <c r="K532" t="s">
        <v>211</v>
      </c>
      <c r="M532">
        <v>0</v>
      </c>
      <c r="N532" s="6">
        <v>0</v>
      </c>
      <c r="Q532" s="2" t="s">
        <v>19</v>
      </c>
    </row>
    <row r="533" spans="1:17" ht="68" x14ac:dyDescent="0.2">
      <c r="A533" t="s">
        <v>189</v>
      </c>
      <c r="B533" t="s">
        <v>90</v>
      </c>
      <c r="C533" t="s">
        <v>91</v>
      </c>
      <c r="D533" s="3">
        <v>44340</v>
      </c>
      <c r="E533" s="1">
        <v>44340.510775462964</v>
      </c>
      <c r="F533" t="s">
        <v>17</v>
      </c>
      <c r="G533" t="s">
        <v>71</v>
      </c>
      <c r="H533" s="1">
        <v>44340.375</v>
      </c>
      <c r="I533" s="1">
        <v>44340.489583333336</v>
      </c>
      <c r="J533" s="4">
        <f t="shared" si="8"/>
        <v>0.11458333333575865</v>
      </c>
      <c r="K533" t="s">
        <v>211</v>
      </c>
      <c r="M533">
        <v>0</v>
      </c>
      <c r="N533" s="6">
        <v>0</v>
      </c>
      <c r="Q533" s="2" t="s">
        <v>19</v>
      </c>
    </row>
    <row r="534" spans="1:17" ht="68" x14ac:dyDescent="0.2">
      <c r="A534" t="s">
        <v>189</v>
      </c>
      <c r="B534" t="s">
        <v>90</v>
      </c>
      <c r="C534" t="s">
        <v>91</v>
      </c>
      <c r="D534" s="3">
        <v>44340</v>
      </c>
      <c r="E534" s="1">
        <v>44340.64472222222</v>
      </c>
      <c r="F534" t="s">
        <v>17</v>
      </c>
      <c r="G534" t="s">
        <v>56</v>
      </c>
      <c r="H534" s="1">
        <v>44340.53125</v>
      </c>
      <c r="I534" s="1">
        <v>44340.666666666664</v>
      </c>
      <c r="J534" s="4">
        <f t="shared" si="8"/>
        <v>0.13541666666424135</v>
      </c>
      <c r="K534" t="s">
        <v>200</v>
      </c>
      <c r="M534">
        <v>0</v>
      </c>
      <c r="N534" s="6">
        <v>8.1018518518518516E-5</v>
      </c>
      <c r="Q534" s="2" t="s">
        <v>19</v>
      </c>
    </row>
    <row r="535" spans="1:17" ht="68" x14ac:dyDescent="0.2">
      <c r="A535" t="s">
        <v>189</v>
      </c>
      <c r="B535" t="s">
        <v>90</v>
      </c>
      <c r="C535" t="s">
        <v>91</v>
      </c>
      <c r="D535" s="3">
        <v>44341</v>
      </c>
      <c r="E535" s="1">
        <v>44341.388356481482</v>
      </c>
      <c r="F535" t="s">
        <v>17</v>
      </c>
      <c r="G535" t="s">
        <v>55</v>
      </c>
      <c r="H535" s="1">
        <v>44341.383333333331</v>
      </c>
      <c r="I535" s="1">
        <v>44341.404166666667</v>
      </c>
      <c r="J535" s="4">
        <f t="shared" si="8"/>
        <v>2.0833333335758653E-2</v>
      </c>
      <c r="K535" t="s">
        <v>200</v>
      </c>
      <c r="M535">
        <v>0</v>
      </c>
      <c r="N535" s="6">
        <v>4.1666666666666669E-4</v>
      </c>
      <c r="Q535" s="2" t="s">
        <v>19</v>
      </c>
    </row>
    <row r="536" spans="1:17" ht="68" x14ac:dyDescent="0.2">
      <c r="A536" t="s">
        <v>189</v>
      </c>
      <c r="B536" t="s">
        <v>90</v>
      </c>
      <c r="C536" t="s">
        <v>91</v>
      </c>
      <c r="D536" s="3">
        <v>44341</v>
      </c>
      <c r="E536" s="1">
        <v>44341.388969907406</v>
      </c>
      <c r="F536" t="s">
        <v>17</v>
      </c>
      <c r="G536" t="s">
        <v>55</v>
      </c>
      <c r="H536" s="1">
        <v>44341.383333333331</v>
      </c>
      <c r="I536" s="1">
        <v>44341.404166666667</v>
      </c>
      <c r="J536" s="4">
        <f t="shared" si="8"/>
        <v>2.0833333335758653E-2</v>
      </c>
      <c r="K536" t="s">
        <v>200</v>
      </c>
      <c r="M536">
        <v>0</v>
      </c>
      <c r="N536" s="6">
        <v>4.5138888888888892E-4</v>
      </c>
      <c r="Q536" s="2" t="s">
        <v>19</v>
      </c>
    </row>
    <row r="537" spans="1:17" ht="68" x14ac:dyDescent="0.2">
      <c r="A537" t="s">
        <v>189</v>
      </c>
      <c r="B537" t="s">
        <v>90</v>
      </c>
      <c r="C537" t="s">
        <v>91</v>
      </c>
      <c r="D537" s="3">
        <v>44341</v>
      </c>
      <c r="E537" s="1">
        <v>44341.40797453704</v>
      </c>
      <c r="F537" t="s">
        <v>17</v>
      </c>
      <c r="G537" t="s">
        <v>55</v>
      </c>
      <c r="H537" s="1">
        <v>44341.383333333331</v>
      </c>
      <c r="I537" s="1">
        <v>44341.404166666667</v>
      </c>
      <c r="J537" s="4">
        <f t="shared" si="8"/>
        <v>2.0833333335758653E-2</v>
      </c>
      <c r="K537" t="s">
        <v>200</v>
      </c>
      <c r="M537">
        <v>0</v>
      </c>
      <c r="N537" s="6">
        <v>9.1435185185185185E-4</v>
      </c>
      <c r="Q537" s="2" t="s">
        <v>19</v>
      </c>
    </row>
    <row r="538" spans="1:17" ht="68" x14ac:dyDescent="0.2">
      <c r="A538" t="s">
        <v>189</v>
      </c>
      <c r="B538" t="s">
        <v>90</v>
      </c>
      <c r="C538" t="s">
        <v>91</v>
      </c>
      <c r="D538" s="3">
        <v>44341</v>
      </c>
      <c r="E538" s="1">
        <v>44341.409155092595</v>
      </c>
      <c r="F538" t="s">
        <v>17</v>
      </c>
      <c r="G538" t="s">
        <v>55</v>
      </c>
      <c r="H538" s="1">
        <v>44341.383333333331</v>
      </c>
      <c r="I538" s="1">
        <v>44341.404166666667</v>
      </c>
      <c r="J538" s="4">
        <f t="shared" si="8"/>
        <v>2.0833333335758653E-2</v>
      </c>
      <c r="K538" t="s">
        <v>200</v>
      </c>
      <c r="M538">
        <v>0</v>
      </c>
      <c r="N538" s="6">
        <v>4.6296296296296294E-5</v>
      </c>
      <c r="Q538" s="2" t="s">
        <v>19</v>
      </c>
    </row>
    <row r="539" spans="1:17" ht="68" x14ac:dyDescent="0.2">
      <c r="A539" t="s">
        <v>189</v>
      </c>
      <c r="B539" t="s">
        <v>90</v>
      </c>
      <c r="C539" t="s">
        <v>91</v>
      </c>
      <c r="D539" s="3">
        <v>44341</v>
      </c>
      <c r="E539" s="1">
        <v>44341.422546296293</v>
      </c>
      <c r="F539" t="s">
        <v>17</v>
      </c>
      <c r="G539" t="s">
        <v>55</v>
      </c>
      <c r="H539" s="1">
        <v>44341.383333333331</v>
      </c>
      <c r="I539" s="1">
        <v>44341.404166666667</v>
      </c>
      <c r="J539" s="4">
        <f t="shared" si="8"/>
        <v>2.0833333335758653E-2</v>
      </c>
      <c r="K539" t="s">
        <v>200</v>
      </c>
      <c r="M539">
        <v>0</v>
      </c>
      <c r="N539" s="6">
        <v>5.7870370370370366E-5</v>
      </c>
      <c r="Q539" s="2" t="s">
        <v>19</v>
      </c>
    </row>
    <row r="540" spans="1:17" ht="68" x14ac:dyDescent="0.2">
      <c r="A540" t="s">
        <v>189</v>
      </c>
      <c r="B540" t="s">
        <v>90</v>
      </c>
      <c r="C540" t="s">
        <v>91</v>
      </c>
      <c r="D540" s="3">
        <v>44341</v>
      </c>
      <c r="E540" s="1">
        <v>44341.459444444445</v>
      </c>
      <c r="F540" t="s">
        <v>17</v>
      </c>
      <c r="G540" t="s">
        <v>55</v>
      </c>
      <c r="H540" s="1">
        <v>44341.383333333331</v>
      </c>
      <c r="I540" s="1">
        <v>44341.404166666667</v>
      </c>
      <c r="J540" s="4">
        <f t="shared" si="8"/>
        <v>2.0833333335758653E-2</v>
      </c>
      <c r="K540" t="s">
        <v>200</v>
      </c>
      <c r="M540">
        <v>0</v>
      </c>
      <c r="N540" s="6">
        <v>1.2962962962962963E-3</v>
      </c>
      <c r="Q540" s="2" t="s">
        <v>19</v>
      </c>
    </row>
    <row r="541" spans="1:17" ht="68" x14ac:dyDescent="0.2">
      <c r="A541" t="s">
        <v>189</v>
      </c>
      <c r="B541" t="s">
        <v>90</v>
      </c>
      <c r="C541" t="s">
        <v>91</v>
      </c>
      <c r="D541" s="3">
        <v>44341</v>
      </c>
      <c r="E541" s="1">
        <v>44341.487905092596</v>
      </c>
      <c r="F541" t="s">
        <v>17</v>
      </c>
      <c r="G541" t="s">
        <v>55</v>
      </c>
      <c r="H541" s="1">
        <v>44341.383333333331</v>
      </c>
      <c r="I541" s="1">
        <v>44341.404166666667</v>
      </c>
      <c r="J541" s="4">
        <f t="shared" si="8"/>
        <v>2.0833333335758653E-2</v>
      </c>
      <c r="K541" t="s">
        <v>200</v>
      </c>
      <c r="M541">
        <v>0</v>
      </c>
      <c r="N541" s="6">
        <v>0</v>
      </c>
      <c r="Q541" s="2" t="s">
        <v>19</v>
      </c>
    </row>
    <row r="542" spans="1:17" ht="68" x14ac:dyDescent="0.2">
      <c r="A542" t="s">
        <v>189</v>
      </c>
      <c r="B542" t="s">
        <v>90</v>
      </c>
      <c r="C542" t="s">
        <v>91</v>
      </c>
      <c r="D542" s="3">
        <v>44341</v>
      </c>
      <c r="E542" s="1">
        <v>44341.660046296296</v>
      </c>
      <c r="F542" t="s">
        <v>17</v>
      </c>
      <c r="G542" t="s">
        <v>68</v>
      </c>
      <c r="H542" s="1">
        <v>44341.541666666664</v>
      </c>
      <c r="I542" s="1">
        <v>44341.666666666664</v>
      </c>
      <c r="J542" s="4">
        <f t="shared" si="8"/>
        <v>0.125</v>
      </c>
      <c r="K542" t="s">
        <v>192</v>
      </c>
      <c r="M542">
        <v>0</v>
      </c>
      <c r="N542" s="6">
        <v>0</v>
      </c>
      <c r="Q542" s="2" t="s">
        <v>19</v>
      </c>
    </row>
    <row r="543" spans="1:17" ht="204" x14ac:dyDescent="0.2">
      <c r="A543" t="s">
        <v>189</v>
      </c>
      <c r="B543" t="s">
        <v>90</v>
      </c>
      <c r="C543" t="s">
        <v>91</v>
      </c>
      <c r="D543" s="3">
        <v>44342</v>
      </c>
      <c r="E543" s="1">
        <v>44342.390104166669</v>
      </c>
      <c r="F543" t="s">
        <v>17</v>
      </c>
      <c r="G543" t="s">
        <v>72</v>
      </c>
      <c r="H543" s="1">
        <v>44342.375</v>
      </c>
      <c r="I543" s="1">
        <v>44342.5</v>
      </c>
      <c r="J543" s="4">
        <f t="shared" si="8"/>
        <v>0.125</v>
      </c>
      <c r="K543" t="s">
        <v>212</v>
      </c>
      <c r="M543">
        <v>0</v>
      </c>
      <c r="N543" s="6">
        <v>2.0254629629629629E-3</v>
      </c>
      <c r="Q543" s="2" t="s">
        <v>104</v>
      </c>
    </row>
    <row r="544" spans="1:17" ht="170" x14ac:dyDescent="0.2">
      <c r="A544" t="s">
        <v>189</v>
      </c>
      <c r="B544" t="s">
        <v>90</v>
      </c>
      <c r="C544" t="s">
        <v>91</v>
      </c>
      <c r="D544" s="3">
        <v>44342</v>
      </c>
      <c r="E544" s="1">
        <v>44342.419189814813</v>
      </c>
      <c r="F544" t="s">
        <v>17</v>
      </c>
      <c r="G544" t="s">
        <v>72</v>
      </c>
      <c r="H544" s="1">
        <v>44342.375</v>
      </c>
      <c r="I544" s="1">
        <v>44342.5</v>
      </c>
      <c r="J544" s="4">
        <f t="shared" si="8"/>
        <v>0.125</v>
      </c>
      <c r="K544" t="s">
        <v>212</v>
      </c>
      <c r="M544">
        <v>0</v>
      </c>
      <c r="N544" s="6">
        <v>9.6064814814814808E-4</v>
      </c>
      <c r="Q544" s="2" t="s">
        <v>105</v>
      </c>
    </row>
    <row r="545" spans="1:17" ht="68" x14ac:dyDescent="0.2">
      <c r="A545" t="s">
        <v>189</v>
      </c>
      <c r="B545" t="s">
        <v>90</v>
      </c>
      <c r="C545" t="s">
        <v>91</v>
      </c>
      <c r="D545" s="3">
        <v>44342</v>
      </c>
      <c r="E545" s="1">
        <v>44342.420555555553</v>
      </c>
      <c r="F545" t="s">
        <v>17</v>
      </c>
      <c r="G545" t="s">
        <v>72</v>
      </c>
      <c r="H545" s="1">
        <v>44342.375</v>
      </c>
      <c r="I545" s="1">
        <v>44342.5</v>
      </c>
      <c r="J545" s="4">
        <f t="shared" si="8"/>
        <v>0.125</v>
      </c>
      <c r="K545" t="s">
        <v>212</v>
      </c>
      <c r="M545">
        <v>0</v>
      </c>
      <c r="N545" s="6">
        <v>3.2407407407407406E-4</v>
      </c>
      <c r="Q545" s="2" t="s">
        <v>19</v>
      </c>
    </row>
    <row r="546" spans="1:17" ht="68" x14ac:dyDescent="0.2">
      <c r="A546" t="s">
        <v>189</v>
      </c>
      <c r="B546" t="s">
        <v>90</v>
      </c>
      <c r="C546" t="s">
        <v>91</v>
      </c>
      <c r="D546" s="3">
        <v>44342</v>
      </c>
      <c r="E546" s="1">
        <v>44342.493854166663</v>
      </c>
      <c r="F546" t="s">
        <v>17</v>
      </c>
      <c r="G546" t="s">
        <v>72</v>
      </c>
      <c r="H546" s="1">
        <v>44342.375</v>
      </c>
      <c r="I546" s="1">
        <v>44342.5</v>
      </c>
      <c r="J546" s="4">
        <f t="shared" si="8"/>
        <v>0.125</v>
      </c>
      <c r="K546" t="s">
        <v>212</v>
      </c>
      <c r="M546">
        <v>0</v>
      </c>
      <c r="N546" s="6">
        <v>6.2500000000000001E-4</v>
      </c>
      <c r="Q546" s="2" t="s">
        <v>19</v>
      </c>
    </row>
    <row r="547" spans="1:17" ht="68" x14ac:dyDescent="0.2">
      <c r="A547" t="s">
        <v>189</v>
      </c>
      <c r="B547" t="s">
        <v>90</v>
      </c>
      <c r="C547" t="s">
        <v>91</v>
      </c>
      <c r="D547" s="3">
        <v>44342</v>
      </c>
      <c r="E547" s="1">
        <v>44342.569733796299</v>
      </c>
      <c r="F547" t="s">
        <v>17</v>
      </c>
      <c r="G547" t="s">
        <v>35</v>
      </c>
      <c r="H547" s="1">
        <v>44342.53125</v>
      </c>
      <c r="I547" s="1">
        <v>44342.666666666664</v>
      </c>
      <c r="J547" s="4">
        <f t="shared" si="8"/>
        <v>0.13541666666424135</v>
      </c>
      <c r="K547" t="s">
        <v>200</v>
      </c>
      <c r="M547">
        <v>0</v>
      </c>
      <c r="N547" s="6">
        <v>2.3148148148148147E-5</v>
      </c>
      <c r="Q547" s="2" t="s">
        <v>19</v>
      </c>
    </row>
    <row r="548" spans="1:17" ht="68" x14ac:dyDescent="0.2">
      <c r="A548" t="s">
        <v>189</v>
      </c>
      <c r="B548" t="s">
        <v>90</v>
      </c>
      <c r="C548" t="s">
        <v>91</v>
      </c>
      <c r="D548" s="3">
        <v>44342</v>
      </c>
      <c r="E548" s="1">
        <v>44342.633842592593</v>
      </c>
      <c r="F548" t="s">
        <v>17</v>
      </c>
      <c r="G548" t="s">
        <v>35</v>
      </c>
      <c r="H548" s="1">
        <v>44342.53125</v>
      </c>
      <c r="I548" s="1">
        <v>44342.666666666664</v>
      </c>
      <c r="J548" s="4">
        <f t="shared" si="8"/>
        <v>0.13541666666424135</v>
      </c>
      <c r="K548" t="s">
        <v>200</v>
      </c>
      <c r="M548">
        <v>0</v>
      </c>
      <c r="N548" s="6">
        <v>1.7361111111111112E-4</v>
      </c>
      <c r="Q548" s="2" t="s">
        <v>19</v>
      </c>
    </row>
    <row r="549" spans="1:17" ht="68" x14ac:dyDescent="0.2">
      <c r="A549" t="s">
        <v>189</v>
      </c>
      <c r="B549" t="s">
        <v>90</v>
      </c>
      <c r="C549" t="s">
        <v>91</v>
      </c>
      <c r="D549" s="3">
        <v>44342</v>
      </c>
      <c r="E549" s="1">
        <v>44342.637094907404</v>
      </c>
      <c r="F549" t="s">
        <v>17</v>
      </c>
      <c r="G549" t="s">
        <v>35</v>
      </c>
      <c r="H549" s="1">
        <v>44342.53125</v>
      </c>
      <c r="I549" s="1">
        <v>44342.666666666664</v>
      </c>
      <c r="J549" s="4">
        <f t="shared" si="8"/>
        <v>0.13541666666424135</v>
      </c>
      <c r="K549" t="s">
        <v>200</v>
      </c>
      <c r="M549">
        <v>0</v>
      </c>
      <c r="N549" s="6">
        <v>2.7777777777777778E-4</v>
      </c>
      <c r="Q549" s="2" t="s">
        <v>19</v>
      </c>
    </row>
    <row r="550" spans="1:17" ht="68" x14ac:dyDescent="0.2">
      <c r="A550" t="s">
        <v>189</v>
      </c>
      <c r="B550" t="s">
        <v>90</v>
      </c>
      <c r="C550" t="s">
        <v>91</v>
      </c>
      <c r="D550" s="3">
        <v>44342</v>
      </c>
      <c r="E550" s="1">
        <v>44342.637465277781</v>
      </c>
      <c r="F550" t="s">
        <v>17</v>
      </c>
      <c r="G550" t="s">
        <v>35</v>
      </c>
      <c r="H550" s="1">
        <v>44342.53125</v>
      </c>
      <c r="I550" s="1">
        <v>44342.666666666664</v>
      </c>
      <c r="J550" s="4">
        <f t="shared" si="8"/>
        <v>0.13541666666424135</v>
      </c>
      <c r="K550" t="s">
        <v>200</v>
      </c>
      <c r="M550">
        <v>0</v>
      </c>
      <c r="N550" s="6">
        <v>2.4305555555555552E-4</v>
      </c>
      <c r="Q550" s="2" t="s">
        <v>19</v>
      </c>
    </row>
    <row r="551" spans="1:17" ht="68" x14ac:dyDescent="0.2">
      <c r="A551" t="s">
        <v>189</v>
      </c>
      <c r="B551" t="s">
        <v>90</v>
      </c>
      <c r="C551" t="s">
        <v>91</v>
      </c>
      <c r="D551" s="3">
        <v>44342</v>
      </c>
      <c r="E551" s="1">
        <v>44342.638298611113</v>
      </c>
      <c r="F551" t="s">
        <v>17</v>
      </c>
      <c r="G551" t="s">
        <v>35</v>
      </c>
      <c r="H551" s="1">
        <v>44342.53125</v>
      </c>
      <c r="I551" s="1">
        <v>44342.666666666664</v>
      </c>
      <c r="J551" s="4">
        <f t="shared" si="8"/>
        <v>0.13541666666424135</v>
      </c>
      <c r="K551" t="s">
        <v>200</v>
      </c>
      <c r="M551">
        <v>0</v>
      </c>
      <c r="N551" s="6">
        <v>7.0601851851851847E-4</v>
      </c>
      <c r="Q551" s="2" t="s">
        <v>19</v>
      </c>
    </row>
    <row r="552" spans="1:17" ht="68" x14ac:dyDescent="0.2">
      <c r="A552" t="s">
        <v>189</v>
      </c>
      <c r="B552" t="s">
        <v>90</v>
      </c>
      <c r="C552" t="s">
        <v>91</v>
      </c>
      <c r="D552" s="3">
        <v>44342</v>
      </c>
      <c r="E552" s="1">
        <v>44342.639166666668</v>
      </c>
      <c r="F552" t="s">
        <v>17</v>
      </c>
      <c r="G552" t="s">
        <v>35</v>
      </c>
      <c r="H552" s="1">
        <v>44342.53125</v>
      </c>
      <c r="I552" s="1">
        <v>44342.666666666664</v>
      </c>
      <c r="J552" s="4">
        <f t="shared" si="8"/>
        <v>0.13541666666424135</v>
      </c>
      <c r="K552" t="s">
        <v>200</v>
      </c>
      <c r="M552">
        <v>0</v>
      </c>
      <c r="N552" s="6">
        <v>8.2175925925925917E-4</v>
      </c>
      <c r="Q552" s="2" t="s">
        <v>19</v>
      </c>
    </row>
    <row r="553" spans="1:17" ht="68" x14ac:dyDescent="0.2">
      <c r="A553" t="s">
        <v>189</v>
      </c>
      <c r="B553" t="s">
        <v>90</v>
      </c>
      <c r="C553" t="s">
        <v>91</v>
      </c>
      <c r="D553" s="3">
        <v>44342</v>
      </c>
      <c r="E553" s="1">
        <v>44342.640509259261</v>
      </c>
      <c r="F553" t="s">
        <v>17</v>
      </c>
      <c r="G553" t="s">
        <v>35</v>
      </c>
      <c r="H553" s="1">
        <v>44342.53125</v>
      </c>
      <c r="I553" s="1">
        <v>44342.666666666664</v>
      </c>
      <c r="J553" s="4">
        <f t="shared" si="8"/>
        <v>0.13541666666424135</v>
      </c>
      <c r="K553" t="s">
        <v>200</v>
      </c>
      <c r="M553">
        <v>0</v>
      </c>
      <c r="N553" s="6">
        <v>2.7777777777777778E-4</v>
      </c>
      <c r="Q553" s="2" t="s">
        <v>19</v>
      </c>
    </row>
    <row r="554" spans="1:17" ht="68" x14ac:dyDescent="0.2">
      <c r="A554" t="s">
        <v>189</v>
      </c>
      <c r="B554" t="s">
        <v>90</v>
      </c>
      <c r="C554" t="s">
        <v>91</v>
      </c>
      <c r="D554" s="3">
        <v>44342</v>
      </c>
      <c r="E554" s="1">
        <v>44342.642245370371</v>
      </c>
      <c r="F554" t="s">
        <v>17</v>
      </c>
      <c r="G554" t="s">
        <v>35</v>
      </c>
      <c r="H554" s="1">
        <v>44342.53125</v>
      </c>
      <c r="I554" s="1">
        <v>44342.666666666664</v>
      </c>
      <c r="J554" s="4">
        <f t="shared" si="8"/>
        <v>0.13541666666424135</v>
      </c>
      <c r="K554" t="s">
        <v>200</v>
      </c>
      <c r="M554">
        <v>0</v>
      </c>
      <c r="N554" s="6">
        <v>1.6435185185185183E-3</v>
      </c>
      <c r="Q554" s="2" t="s">
        <v>19</v>
      </c>
    </row>
    <row r="555" spans="1:17" ht="68" x14ac:dyDescent="0.2">
      <c r="A555" t="s">
        <v>189</v>
      </c>
      <c r="B555" t="s">
        <v>90</v>
      </c>
      <c r="C555" t="s">
        <v>91</v>
      </c>
      <c r="D555" s="3">
        <v>44342</v>
      </c>
      <c r="E555" s="1">
        <v>44342.660601851851</v>
      </c>
      <c r="F555" t="s">
        <v>17</v>
      </c>
      <c r="G555" t="s">
        <v>35</v>
      </c>
      <c r="H555" s="1">
        <v>44342.53125</v>
      </c>
      <c r="I555" s="1">
        <v>44342.666666666664</v>
      </c>
      <c r="J555" s="4">
        <f t="shared" si="8"/>
        <v>0.13541666666424135</v>
      </c>
      <c r="K555" t="s">
        <v>200</v>
      </c>
      <c r="M555">
        <v>0</v>
      </c>
      <c r="N555" s="6">
        <v>0</v>
      </c>
      <c r="Q555" s="2" t="s">
        <v>19</v>
      </c>
    </row>
    <row r="556" spans="1:17" ht="68" x14ac:dyDescent="0.2">
      <c r="A556" t="s">
        <v>189</v>
      </c>
      <c r="B556" t="s">
        <v>90</v>
      </c>
      <c r="C556" t="s">
        <v>91</v>
      </c>
      <c r="D556" s="3">
        <v>44343</v>
      </c>
      <c r="E556" s="1">
        <v>44343.486296296294</v>
      </c>
      <c r="F556" t="s">
        <v>17</v>
      </c>
      <c r="G556" t="s">
        <v>73</v>
      </c>
      <c r="H556" s="1">
        <v>44343.375</v>
      </c>
      <c r="I556" s="1">
        <v>44343.489583333336</v>
      </c>
      <c r="J556" s="4">
        <f t="shared" si="8"/>
        <v>0.11458333333575865</v>
      </c>
      <c r="K556" t="s">
        <v>196</v>
      </c>
      <c r="M556">
        <v>0</v>
      </c>
      <c r="N556" s="6">
        <v>0</v>
      </c>
      <c r="Q556" s="2" t="s">
        <v>19</v>
      </c>
    </row>
    <row r="557" spans="1:17" ht="68" x14ac:dyDescent="0.2">
      <c r="A557" t="s">
        <v>189</v>
      </c>
      <c r="B557" t="s">
        <v>90</v>
      </c>
      <c r="C557" t="s">
        <v>91</v>
      </c>
      <c r="D557" s="3">
        <v>44344</v>
      </c>
      <c r="E557" s="1">
        <v>44344.395474537036</v>
      </c>
      <c r="F557" t="s">
        <v>17</v>
      </c>
      <c r="G557" t="s">
        <v>53</v>
      </c>
      <c r="H557" s="1">
        <v>44344.375</v>
      </c>
      <c r="I557" s="1">
        <v>44344.489583333336</v>
      </c>
      <c r="J557" s="4">
        <f t="shared" si="8"/>
        <v>0.11458333333575865</v>
      </c>
      <c r="K557" t="s">
        <v>199</v>
      </c>
      <c r="M557">
        <v>0</v>
      </c>
      <c r="N557" s="6">
        <v>1.1226851851851851E-3</v>
      </c>
      <c r="Q557" s="2" t="s">
        <v>19</v>
      </c>
    </row>
    <row r="558" spans="1:17" ht="68" x14ac:dyDescent="0.2">
      <c r="A558" t="s">
        <v>189</v>
      </c>
      <c r="B558" t="s">
        <v>90</v>
      </c>
      <c r="C558" t="s">
        <v>91</v>
      </c>
      <c r="D558" s="3">
        <v>44344</v>
      </c>
      <c r="E558" s="1">
        <v>44344.546377314815</v>
      </c>
      <c r="F558" t="s">
        <v>17</v>
      </c>
      <c r="G558" t="s">
        <v>35</v>
      </c>
      <c r="H558" s="1">
        <v>44344.53125</v>
      </c>
      <c r="I558" s="1">
        <v>44344.552083333336</v>
      </c>
      <c r="J558" s="4">
        <f t="shared" si="8"/>
        <v>2.0833333335758653E-2</v>
      </c>
      <c r="K558" t="s">
        <v>219</v>
      </c>
      <c r="M558">
        <v>0</v>
      </c>
      <c r="N558" s="6">
        <v>5.2083333333333333E-4</v>
      </c>
      <c r="Q558" s="2" t="s">
        <v>19</v>
      </c>
    </row>
    <row r="559" spans="1:17" ht="68" x14ac:dyDescent="0.2">
      <c r="A559" t="s">
        <v>189</v>
      </c>
      <c r="B559" t="s">
        <v>90</v>
      </c>
      <c r="C559" t="s">
        <v>91</v>
      </c>
      <c r="D559" s="3">
        <v>44344</v>
      </c>
      <c r="E559" s="1">
        <v>44344.551377314812</v>
      </c>
      <c r="F559" t="s">
        <v>17</v>
      </c>
      <c r="G559" t="s">
        <v>35</v>
      </c>
      <c r="H559" s="1">
        <v>44344.53125</v>
      </c>
      <c r="I559" s="1">
        <v>44344.552083333336</v>
      </c>
      <c r="J559" s="4">
        <f t="shared" si="8"/>
        <v>2.0833333335758653E-2</v>
      </c>
      <c r="K559" t="s">
        <v>219</v>
      </c>
      <c r="M559">
        <v>0</v>
      </c>
      <c r="N559" s="6">
        <v>4.2708333333333339E-3</v>
      </c>
      <c r="Q559" s="2" t="s">
        <v>19</v>
      </c>
    </row>
    <row r="560" spans="1:17" ht="68" x14ac:dyDescent="0.2">
      <c r="A560" t="s">
        <v>189</v>
      </c>
      <c r="B560" t="s">
        <v>90</v>
      </c>
      <c r="C560" t="s">
        <v>91</v>
      </c>
      <c r="D560" s="3">
        <v>44344</v>
      </c>
      <c r="E560" s="1">
        <v>44344.553287037037</v>
      </c>
      <c r="F560" t="s">
        <v>17</v>
      </c>
      <c r="G560" t="s">
        <v>35</v>
      </c>
      <c r="H560" s="1">
        <v>44344.53125</v>
      </c>
      <c r="I560" s="1">
        <v>44344.552083333336</v>
      </c>
      <c r="J560" s="4">
        <f t="shared" si="8"/>
        <v>2.0833333335758653E-2</v>
      </c>
      <c r="K560" t="s">
        <v>219</v>
      </c>
      <c r="M560">
        <v>0</v>
      </c>
      <c r="N560" s="6">
        <v>1.4351851851851854E-3</v>
      </c>
      <c r="Q560" s="2" t="s">
        <v>19</v>
      </c>
    </row>
    <row r="561" spans="1:17" ht="204" x14ac:dyDescent="0.2">
      <c r="A561" t="s">
        <v>189</v>
      </c>
      <c r="B561" t="s">
        <v>90</v>
      </c>
      <c r="C561" t="s">
        <v>91</v>
      </c>
      <c r="D561" s="3">
        <v>44344</v>
      </c>
      <c r="E561" s="1">
        <v>44344.595497685186</v>
      </c>
      <c r="F561" t="s">
        <v>17</v>
      </c>
      <c r="G561" t="s">
        <v>106</v>
      </c>
      <c r="H561" s="1">
        <v>44344.552083333336</v>
      </c>
      <c r="I561" s="1">
        <v>44344.666666666664</v>
      </c>
      <c r="J561" s="4">
        <f t="shared" si="8"/>
        <v>0.11458333332848269</v>
      </c>
      <c r="K561" t="s">
        <v>221</v>
      </c>
      <c r="M561">
        <v>0</v>
      </c>
      <c r="N561" s="6">
        <v>1.1574074074074073E-4</v>
      </c>
      <c r="O561" t="s">
        <v>102</v>
      </c>
      <c r="P561" t="s">
        <v>89</v>
      </c>
      <c r="Q561" s="2" t="s">
        <v>107</v>
      </c>
    </row>
    <row r="562" spans="1:17" ht="323" x14ac:dyDescent="0.2">
      <c r="A562" t="s">
        <v>189</v>
      </c>
      <c r="B562" t="s">
        <v>90</v>
      </c>
      <c r="C562" t="s">
        <v>91</v>
      </c>
      <c r="D562" s="3">
        <v>44344</v>
      </c>
      <c r="E562" s="1">
        <v>44344.63958333333</v>
      </c>
      <c r="F562" t="s">
        <v>17</v>
      </c>
      <c r="G562" t="s">
        <v>106</v>
      </c>
      <c r="H562" s="1">
        <v>44344.552083333336</v>
      </c>
      <c r="I562" s="1">
        <v>44344.666666666664</v>
      </c>
      <c r="J562" s="4">
        <f t="shared" si="8"/>
        <v>0.11458333332848269</v>
      </c>
      <c r="K562" t="s">
        <v>221</v>
      </c>
      <c r="M562">
        <v>0</v>
      </c>
      <c r="N562" s="6">
        <v>1.1805555555555556E-3</v>
      </c>
      <c r="O562" t="s">
        <v>102</v>
      </c>
      <c r="P562" t="s">
        <v>89</v>
      </c>
      <c r="Q562" s="2" t="s">
        <v>108</v>
      </c>
    </row>
    <row r="563" spans="1:17" ht="68" x14ac:dyDescent="0.2">
      <c r="A563" t="s">
        <v>189</v>
      </c>
      <c r="B563" t="s">
        <v>90</v>
      </c>
      <c r="C563" t="s">
        <v>91</v>
      </c>
      <c r="D563" s="3">
        <v>44344</v>
      </c>
      <c r="E563" s="1">
        <v>44344.663773148146</v>
      </c>
      <c r="F563" t="s">
        <v>17</v>
      </c>
      <c r="G563" t="s">
        <v>106</v>
      </c>
      <c r="H563" s="1">
        <v>44344.552083333336</v>
      </c>
      <c r="I563" s="1">
        <v>44344.666666666664</v>
      </c>
      <c r="J563" s="4">
        <f t="shared" si="8"/>
        <v>0.11458333332848269</v>
      </c>
      <c r="K563" t="s">
        <v>221</v>
      </c>
      <c r="M563">
        <v>0</v>
      </c>
      <c r="N563" s="5" t="s">
        <v>144</v>
      </c>
      <c r="Q563" s="2" t="s">
        <v>19</v>
      </c>
    </row>
    <row r="564" spans="1:17" ht="68" x14ac:dyDescent="0.2">
      <c r="A564" t="s">
        <v>189</v>
      </c>
      <c r="B564" t="s">
        <v>90</v>
      </c>
      <c r="C564" t="s">
        <v>91</v>
      </c>
      <c r="D564" s="3">
        <v>44348</v>
      </c>
      <c r="E564" s="1">
        <v>44348.490856481483</v>
      </c>
      <c r="F564" t="s">
        <v>17</v>
      </c>
      <c r="G564" t="s">
        <v>53</v>
      </c>
      <c r="H564" s="1">
        <v>44348.378472222219</v>
      </c>
      <c r="I564" s="1">
        <v>44348.490972222222</v>
      </c>
      <c r="J564" s="4">
        <f t="shared" si="8"/>
        <v>0.11250000000291038</v>
      </c>
      <c r="K564" t="s">
        <v>213</v>
      </c>
      <c r="M564">
        <v>0</v>
      </c>
      <c r="N564" s="6">
        <v>0</v>
      </c>
      <c r="Q564" s="2" t="s">
        <v>19</v>
      </c>
    </row>
    <row r="565" spans="1:17" ht="68" x14ac:dyDescent="0.2">
      <c r="A565" t="s">
        <v>189</v>
      </c>
      <c r="B565" t="s">
        <v>90</v>
      </c>
      <c r="C565" t="s">
        <v>91</v>
      </c>
      <c r="D565" s="3">
        <v>44348</v>
      </c>
      <c r="E565" s="1">
        <v>44348.547881944447</v>
      </c>
      <c r="F565" t="s">
        <v>17</v>
      </c>
      <c r="G565" t="s">
        <v>74</v>
      </c>
      <c r="H565" s="1">
        <v>44348.541666666664</v>
      </c>
      <c r="I565" s="1">
        <v>44348.645833333336</v>
      </c>
      <c r="J565" s="4">
        <f t="shared" si="8"/>
        <v>0.10416666667151731</v>
      </c>
      <c r="K565" t="s">
        <v>192</v>
      </c>
      <c r="M565">
        <v>0</v>
      </c>
      <c r="N565" s="6">
        <v>5.5555555555555558E-3</v>
      </c>
      <c r="Q565" s="2" t="s">
        <v>19</v>
      </c>
    </row>
    <row r="566" spans="1:17" ht="68" x14ac:dyDescent="0.2">
      <c r="A566" t="s">
        <v>189</v>
      </c>
      <c r="B566" t="s">
        <v>90</v>
      </c>
      <c r="C566" t="s">
        <v>91</v>
      </c>
      <c r="D566" s="3">
        <v>44348</v>
      </c>
      <c r="E566" s="1">
        <v>44348.55159722222</v>
      </c>
      <c r="F566" t="s">
        <v>17</v>
      </c>
      <c r="G566" t="s">
        <v>74</v>
      </c>
      <c r="H566" s="1">
        <v>44348.541666666664</v>
      </c>
      <c r="I566" s="1">
        <v>44348.645833333336</v>
      </c>
      <c r="J566" s="4">
        <f t="shared" si="8"/>
        <v>0.10416666667151731</v>
      </c>
      <c r="K566" t="s">
        <v>192</v>
      </c>
      <c r="M566">
        <v>0</v>
      </c>
      <c r="N566" s="6">
        <v>8.1018518518518516E-4</v>
      </c>
      <c r="Q566" s="2" t="s">
        <v>19</v>
      </c>
    </row>
    <row r="567" spans="1:17" ht="68" x14ac:dyDescent="0.2">
      <c r="A567" t="s">
        <v>189</v>
      </c>
      <c r="B567" t="s">
        <v>90</v>
      </c>
      <c r="C567" t="s">
        <v>91</v>
      </c>
      <c r="D567" s="3">
        <v>44348</v>
      </c>
      <c r="E567" s="1">
        <v>44348.555173611108</v>
      </c>
      <c r="F567" t="s">
        <v>17</v>
      </c>
      <c r="G567" t="s">
        <v>74</v>
      </c>
      <c r="H567" s="1">
        <v>44348.541666666664</v>
      </c>
      <c r="I567" s="1">
        <v>44348.645833333336</v>
      </c>
      <c r="J567" s="4">
        <f t="shared" si="8"/>
        <v>0.10416666667151731</v>
      </c>
      <c r="K567" t="s">
        <v>192</v>
      </c>
      <c r="M567">
        <v>0</v>
      </c>
      <c r="N567" s="6">
        <v>3.1597222222222222E-3</v>
      </c>
      <c r="Q567" s="2" t="s">
        <v>19</v>
      </c>
    </row>
    <row r="568" spans="1:17" ht="68" x14ac:dyDescent="0.2">
      <c r="A568" t="s">
        <v>189</v>
      </c>
      <c r="B568" t="s">
        <v>90</v>
      </c>
      <c r="C568" t="s">
        <v>91</v>
      </c>
      <c r="D568" s="3">
        <v>44348</v>
      </c>
      <c r="E568" s="1">
        <v>44348.556805555556</v>
      </c>
      <c r="F568" t="s">
        <v>17</v>
      </c>
      <c r="G568" t="s">
        <v>74</v>
      </c>
      <c r="H568" s="1">
        <v>44348.541666666664</v>
      </c>
      <c r="I568" s="1">
        <v>44348.645833333336</v>
      </c>
      <c r="J568" s="4">
        <f t="shared" si="8"/>
        <v>0.10416666667151731</v>
      </c>
      <c r="K568" t="s">
        <v>192</v>
      </c>
      <c r="M568">
        <v>0</v>
      </c>
      <c r="N568" s="6">
        <v>1.25E-3</v>
      </c>
      <c r="Q568" s="2" t="s">
        <v>19</v>
      </c>
    </row>
    <row r="569" spans="1:17" ht="68" x14ac:dyDescent="0.2">
      <c r="A569" t="s">
        <v>189</v>
      </c>
      <c r="B569" t="s">
        <v>90</v>
      </c>
      <c r="C569" t="s">
        <v>91</v>
      </c>
      <c r="D569" s="3">
        <v>44348</v>
      </c>
      <c r="E569" s="1">
        <v>44348.562071759261</v>
      </c>
      <c r="F569" t="s">
        <v>17</v>
      </c>
      <c r="G569" t="s">
        <v>74</v>
      </c>
      <c r="H569" s="1">
        <v>44348.541666666664</v>
      </c>
      <c r="I569" s="1">
        <v>44348.645833333336</v>
      </c>
      <c r="J569" s="4">
        <f t="shared" si="8"/>
        <v>0.10416666667151731</v>
      </c>
      <c r="K569" t="s">
        <v>192</v>
      </c>
      <c r="M569">
        <v>0</v>
      </c>
      <c r="N569" s="6">
        <v>1.8055555555555557E-3</v>
      </c>
      <c r="Q569" s="2" t="s">
        <v>19</v>
      </c>
    </row>
    <row r="570" spans="1:17" ht="68" x14ac:dyDescent="0.2">
      <c r="A570" t="s">
        <v>189</v>
      </c>
      <c r="B570" t="s">
        <v>90</v>
      </c>
      <c r="C570" t="s">
        <v>91</v>
      </c>
      <c r="D570" s="3">
        <v>44348</v>
      </c>
      <c r="E570" s="1">
        <v>44348.565810185188</v>
      </c>
      <c r="F570" t="s">
        <v>17</v>
      </c>
      <c r="G570" t="s">
        <v>74</v>
      </c>
      <c r="H570" s="1">
        <v>44348.541666666664</v>
      </c>
      <c r="I570" s="1">
        <v>44348.645833333336</v>
      </c>
      <c r="J570" s="4">
        <f t="shared" si="8"/>
        <v>0.10416666667151731</v>
      </c>
      <c r="K570" t="s">
        <v>192</v>
      </c>
      <c r="M570">
        <v>0</v>
      </c>
      <c r="N570" s="6">
        <v>1.1458333333333333E-3</v>
      </c>
      <c r="Q570" s="2" t="s">
        <v>19</v>
      </c>
    </row>
    <row r="571" spans="1:17" ht="68" x14ac:dyDescent="0.2">
      <c r="A571" t="s">
        <v>189</v>
      </c>
      <c r="B571" t="s">
        <v>90</v>
      </c>
      <c r="C571" t="s">
        <v>91</v>
      </c>
      <c r="D571" s="3">
        <v>44348</v>
      </c>
      <c r="E571" s="1">
        <v>44348.573622685188</v>
      </c>
      <c r="F571" t="s">
        <v>17</v>
      </c>
      <c r="G571" t="s">
        <v>74</v>
      </c>
      <c r="H571" s="1">
        <v>44348.541666666664</v>
      </c>
      <c r="I571" s="1">
        <v>44348.645833333336</v>
      </c>
      <c r="J571" s="4">
        <f t="shared" si="8"/>
        <v>0.10416666667151731</v>
      </c>
      <c r="K571" t="s">
        <v>192</v>
      </c>
      <c r="M571">
        <v>0</v>
      </c>
      <c r="N571" s="6">
        <v>8.2175925925925917E-4</v>
      </c>
      <c r="Q571" s="2" t="s">
        <v>19</v>
      </c>
    </row>
    <row r="572" spans="1:17" ht="68" x14ac:dyDescent="0.2">
      <c r="A572" t="s">
        <v>189</v>
      </c>
      <c r="B572" t="s">
        <v>90</v>
      </c>
      <c r="C572" t="s">
        <v>91</v>
      </c>
      <c r="D572" s="3">
        <v>44348</v>
      </c>
      <c r="E572" s="1">
        <v>44348.580185185187</v>
      </c>
      <c r="F572" t="s">
        <v>17</v>
      </c>
      <c r="G572" t="s">
        <v>74</v>
      </c>
      <c r="H572" s="1">
        <v>44348.541666666664</v>
      </c>
      <c r="I572" s="1">
        <v>44348.645833333336</v>
      </c>
      <c r="J572" s="4">
        <f t="shared" si="8"/>
        <v>0.10416666667151731</v>
      </c>
      <c r="K572" t="s">
        <v>192</v>
      </c>
      <c r="M572">
        <v>0</v>
      </c>
      <c r="N572" s="6">
        <v>2.7662037037037034E-3</v>
      </c>
      <c r="Q572" s="2" t="s">
        <v>19</v>
      </c>
    </row>
    <row r="573" spans="1:17" ht="68" x14ac:dyDescent="0.2">
      <c r="A573" t="s">
        <v>189</v>
      </c>
      <c r="B573" t="s">
        <v>90</v>
      </c>
      <c r="C573" t="s">
        <v>91</v>
      </c>
      <c r="D573" s="3">
        <v>44348</v>
      </c>
      <c r="E573" s="1">
        <v>44348.58353009259</v>
      </c>
      <c r="F573" t="s">
        <v>17</v>
      </c>
      <c r="G573" t="s">
        <v>74</v>
      </c>
      <c r="H573" s="1">
        <v>44348.541666666664</v>
      </c>
      <c r="I573" s="1">
        <v>44348.645833333336</v>
      </c>
      <c r="J573" s="4">
        <f t="shared" si="8"/>
        <v>0.10416666667151731</v>
      </c>
      <c r="K573" t="s">
        <v>192</v>
      </c>
      <c r="M573">
        <v>0</v>
      </c>
      <c r="N573" s="6">
        <v>3.8194444444444446E-4</v>
      </c>
      <c r="Q573" s="2" t="s">
        <v>19</v>
      </c>
    </row>
    <row r="574" spans="1:17" ht="68" x14ac:dyDescent="0.2">
      <c r="A574" t="s">
        <v>189</v>
      </c>
      <c r="B574" t="s">
        <v>90</v>
      </c>
      <c r="C574" t="s">
        <v>91</v>
      </c>
      <c r="D574" s="3">
        <v>44348</v>
      </c>
      <c r="E574" s="1">
        <v>44348.599432870367</v>
      </c>
      <c r="F574" t="s">
        <v>17</v>
      </c>
      <c r="G574" t="s">
        <v>74</v>
      </c>
      <c r="H574" s="1">
        <v>44348.541666666664</v>
      </c>
      <c r="I574" s="1">
        <v>44348.645833333336</v>
      </c>
      <c r="J574" s="4">
        <f t="shared" si="8"/>
        <v>0.10416666667151731</v>
      </c>
      <c r="K574" t="s">
        <v>192</v>
      </c>
      <c r="M574">
        <v>0</v>
      </c>
      <c r="N574" s="6">
        <v>6.5972222222222213E-4</v>
      </c>
      <c r="Q574" s="2" t="s">
        <v>19</v>
      </c>
    </row>
    <row r="575" spans="1:17" ht="68" x14ac:dyDescent="0.2">
      <c r="A575" t="s">
        <v>189</v>
      </c>
      <c r="B575" t="s">
        <v>90</v>
      </c>
      <c r="C575" t="s">
        <v>91</v>
      </c>
      <c r="D575" s="3">
        <v>44348</v>
      </c>
      <c r="E575" s="1">
        <v>44348.600891203707</v>
      </c>
      <c r="F575" t="s">
        <v>17</v>
      </c>
      <c r="G575" t="s">
        <v>74</v>
      </c>
      <c r="H575" s="1">
        <v>44348.541666666664</v>
      </c>
      <c r="I575" s="1">
        <v>44348.645833333336</v>
      </c>
      <c r="J575" s="4">
        <f t="shared" si="8"/>
        <v>0.10416666667151731</v>
      </c>
      <c r="K575" t="s">
        <v>192</v>
      </c>
      <c r="M575">
        <v>0</v>
      </c>
      <c r="N575" s="6">
        <v>9.8379629629629642E-4</v>
      </c>
      <c r="Q575" s="2" t="s">
        <v>19</v>
      </c>
    </row>
    <row r="576" spans="1:17" ht="68" x14ac:dyDescent="0.2">
      <c r="A576" t="s">
        <v>189</v>
      </c>
      <c r="B576" t="s">
        <v>90</v>
      </c>
      <c r="C576" t="s">
        <v>91</v>
      </c>
      <c r="D576" s="3">
        <v>44348</v>
      </c>
      <c r="E576" s="1">
        <v>44348.624097222222</v>
      </c>
      <c r="F576" t="s">
        <v>17</v>
      </c>
      <c r="G576" t="s">
        <v>74</v>
      </c>
      <c r="H576" s="1">
        <v>44348.541666666664</v>
      </c>
      <c r="I576" s="1">
        <v>44348.645833333336</v>
      </c>
      <c r="J576" s="4">
        <f t="shared" si="8"/>
        <v>0.10416666667151731</v>
      </c>
      <c r="K576" t="s">
        <v>192</v>
      </c>
      <c r="M576">
        <v>0</v>
      </c>
      <c r="N576" s="6">
        <v>3.1250000000000001E-4</v>
      </c>
      <c r="Q576" s="2" t="s">
        <v>19</v>
      </c>
    </row>
    <row r="577" spans="1:17" ht="68" x14ac:dyDescent="0.2">
      <c r="A577" t="s">
        <v>189</v>
      </c>
      <c r="B577" t="s">
        <v>90</v>
      </c>
      <c r="C577" t="s">
        <v>91</v>
      </c>
      <c r="D577" s="3">
        <v>44348</v>
      </c>
      <c r="E577" s="1">
        <v>44348.667384259257</v>
      </c>
      <c r="F577" t="s">
        <v>17</v>
      </c>
      <c r="G577" t="s">
        <v>75</v>
      </c>
      <c r="H577" s="1">
        <v>44348.645833333336</v>
      </c>
      <c r="I577" s="1">
        <v>44348.666666666664</v>
      </c>
      <c r="J577" s="4">
        <f t="shared" si="8"/>
        <v>2.0833333328482695E-2</v>
      </c>
      <c r="K577" t="s">
        <v>214</v>
      </c>
      <c r="M577">
        <v>0</v>
      </c>
      <c r="N577" s="6">
        <v>0</v>
      </c>
      <c r="Q577" s="2" t="s">
        <v>19</v>
      </c>
    </row>
    <row r="578" spans="1:17" ht="68" x14ac:dyDescent="0.2">
      <c r="A578" t="s">
        <v>189</v>
      </c>
      <c r="B578" t="s">
        <v>90</v>
      </c>
      <c r="C578" t="s">
        <v>91</v>
      </c>
      <c r="D578" s="3">
        <v>44349</v>
      </c>
      <c r="E578" s="1">
        <v>44349.385833333334</v>
      </c>
      <c r="F578" t="s">
        <v>17</v>
      </c>
      <c r="G578" t="s">
        <v>76</v>
      </c>
      <c r="H578" s="1">
        <v>44349.376388888886</v>
      </c>
      <c r="I578" s="1">
        <v>44349.489583333336</v>
      </c>
      <c r="J578" s="4">
        <f t="shared" si="8"/>
        <v>0.11319444444961846</v>
      </c>
      <c r="K578" t="s">
        <v>197</v>
      </c>
      <c r="M578">
        <v>0</v>
      </c>
      <c r="N578" s="5" t="s">
        <v>144</v>
      </c>
      <c r="Q578" s="2" t="s">
        <v>19</v>
      </c>
    </row>
    <row r="579" spans="1:17" ht="68" x14ac:dyDescent="0.2">
      <c r="A579" t="s">
        <v>189</v>
      </c>
      <c r="B579" t="s">
        <v>90</v>
      </c>
      <c r="C579" t="s">
        <v>91</v>
      </c>
      <c r="D579" s="3">
        <v>44349</v>
      </c>
      <c r="E579" s="1">
        <v>44349.477881944447</v>
      </c>
      <c r="F579" t="s">
        <v>17</v>
      </c>
      <c r="G579" t="s">
        <v>76</v>
      </c>
      <c r="H579" s="1">
        <v>44349.376388888886</v>
      </c>
      <c r="I579" s="1">
        <v>44349.489583333336</v>
      </c>
      <c r="J579" s="4">
        <f t="shared" ref="J579:J642" si="9">IF($I579="","",$I579-$H579)</f>
        <v>0.11319444444961846</v>
      </c>
      <c r="K579" t="s">
        <v>197</v>
      </c>
      <c r="M579">
        <v>0</v>
      </c>
      <c r="N579" s="6">
        <v>1.5046296296296297E-4</v>
      </c>
      <c r="Q579" s="2" t="s">
        <v>19</v>
      </c>
    </row>
    <row r="580" spans="1:17" ht="68" x14ac:dyDescent="0.2">
      <c r="A580" t="s">
        <v>189</v>
      </c>
      <c r="B580" t="s">
        <v>90</v>
      </c>
      <c r="C580" t="s">
        <v>91</v>
      </c>
      <c r="D580" s="3">
        <v>44349</v>
      </c>
      <c r="E580" s="1">
        <v>44349.553715277776</v>
      </c>
      <c r="F580" t="s">
        <v>17</v>
      </c>
      <c r="G580" t="s">
        <v>37</v>
      </c>
      <c r="H580" s="1">
        <v>44349.53125</v>
      </c>
      <c r="I580" s="1">
        <v>44349.645833333336</v>
      </c>
      <c r="J580" s="4">
        <f t="shared" si="9"/>
        <v>0.11458333333575865</v>
      </c>
      <c r="K580" t="s">
        <v>192</v>
      </c>
      <c r="M580">
        <v>0</v>
      </c>
      <c r="N580" s="6">
        <v>1.726851851851852E-2</v>
      </c>
      <c r="Q580" s="2" t="s">
        <v>19</v>
      </c>
    </row>
    <row r="581" spans="1:17" ht="68" x14ac:dyDescent="0.2">
      <c r="A581" t="s">
        <v>189</v>
      </c>
      <c r="B581" t="s">
        <v>90</v>
      </c>
      <c r="C581" t="s">
        <v>91</v>
      </c>
      <c r="D581" s="3">
        <v>44349</v>
      </c>
      <c r="E581" s="1">
        <v>44349.645046296297</v>
      </c>
      <c r="F581" t="s">
        <v>17</v>
      </c>
      <c r="G581" t="s">
        <v>37</v>
      </c>
      <c r="H581" s="1">
        <v>44349.53125</v>
      </c>
      <c r="I581" s="1">
        <v>44349.645833333336</v>
      </c>
      <c r="J581" s="4">
        <f t="shared" si="9"/>
        <v>0.11458333333575865</v>
      </c>
      <c r="K581" t="s">
        <v>192</v>
      </c>
      <c r="M581">
        <v>0</v>
      </c>
      <c r="N581" s="6">
        <v>3.3449074074074071E-3</v>
      </c>
      <c r="Q581" s="2" t="s">
        <v>19</v>
      </c>
    </row>
    <row r="582" spans="1:17" ht="68" x14ac:dyDescent="0.2">
      <c r="A582" t="s">
        <v>189</v>
      </c>
      <c r="B582" t="s">
        <v>90</v>
      </c>
      <c r="C582" t="s">
        <v>91</v>
      </c>
      <c r="D582" s="3">
        <v>44349</v>
      </c>
      <c r="E582" s="1">
        <v>44349.647407407407</v>
      </c>
      <c r="F582" t="s">
        <v>17</v>
      </c>
      <c r="G582" t="s">
        <v>37</v>
      </c>
      <c r="H582" s="1">
        <v>44349.53125</v>
      </c>
      <c r="I582" s="1">
        <v>44349.645833333336</v>
      </c>
      <c r="J582" s="4">
        <f t="shared" si="9"/>
        <v>0.11458333333575865</v>
      </c>
      <c r="K582" t="s">
        <v>192</v>
      </c>
      <c r="M582">
        <v>0</v>
      </c>
      <c r="N582" s="6">
        <v>1.0648148148148147E-3</v>
      </c>
      <c r="Q582" s="2" t="s">
        <v>19</v>
      </c>
    </row>
    <row r="583" spans="1:17" ht="68" x14ac:dyDescent="0.2">
      <c r="A583" t="s">
        <v>189</v>
      </c>
      <c r="B583" t="s">
        <v>90</v>
      </c>
      <c r="C583" t="s">
        <v>91</v>
      </c>
      <c r="D583" s="3">
        <v>44350</v>
      </c>
      <c r="E583" s="1">
        <v>44350.469953703701</v>
      </c>
      <c r="F583" t="s">
        <v>17</v>
      </c>
      <c r="G583" t="s">
        <v>77</v>
      </c>
      <c r="H583" s="1">
        <v>44350.333333333336</v>
      </c>
      <c r="I583" s="1">
        <v>44350.479166666664</v>
      </c>
      <c r="J583" s="4">
        <f t="shared" si="9"/>
        <v>0.14583333332848269</v>
      </c>
      <c r="K583" t="s">
        <v>191</v>
      </c>
      <c r="M583">
        <v>0</v>
      </c>
      <c r="N583" s="6">
        <v>0</v>
      </c>
      <c r="Q583" s="2" t="s">
        <v>19</v>
      </c>
    </row>
    <row r="584" spans="1:17" ht="68" x14ac:dyDescent="0.2">
      <c r="A584" t="s">
        <v>189</v>
      </c>
      <c r="B584" t="s">
        <v>90</v>
      </c>
      <c r="C584" t="s">
        <v>91</v>
      </c>
      <c r="D584" s="3">
        <v>44351</v>
      </c>
      <c r="E584" s="1">
        <v>44351.488935185182</v>
      </c>
      <c r="F584" t="s">
        <v>17</v>
      </c>
      <c r="G584" t="s">
        <v>63</v>
      </c>
      <c r="H584" s="1">
        <v>44351.375</v>
      </c>
      <c r="I584" s="1">
        <v>44351.489583333336</v>
      </c>
      <c r="J584" s="4">
        <f t="shared" si="9"/>
        <v>0.11458333333575865</v>
      </c>
      <c r="K584" t="s">
        <v>199</v>
      </c>
      <c r="M584">
        <v>0</v>
      </c>
      <c r="N584" s="6">
        <v>0</v>
      </c>
      <c r="Q584" s="2" t="s">
        <v>19</v>
      </c>
    </row>
    <row r="585" spans="1:17" ht="68" x14ac:dyDescent="0.2">
      <c r="A585" t="s">
        <v>189</v>
      </c>
      <c r="B585" t="s">
        <v>90</v>
      </c>
      <c r="C585" t="s">
        <v>91</v>
      </c>
      <c r="D585" s="3">
        <v>44351</v>
      </c>
      <c r="E585" s="1">
        <v>44351.639479166668</v>
      </c>
      <c r="F585" t="s">
        <v>17</v>
      </c>
      <c r="G585" t="s">
        <v>45</v>
      </c>
      <c r="H585" s="1">
        <v>44351.53125</v>
      </c>
      <c r="I585" s="1">
        <v>44351.666666666664</v>
      </c>
      <c r="J585" s="4">
        <f t="shared" si="9"/>
        <v>0.13541666666424135</v>
      </c>
      <c r="K585" t="s">
        <v>195</v>
      </c>
      <c r="M585">
        <v>0</v>
      </c>
      <c r="N585" s="6">
        <v>4.2708333333333339E-3</v>
      </c>
      <c r="Q585" s="2" t="s">
        <v>19</v>
      </c>
    </row>
    <row r="586" spans="1:17" ht="68" x14ac:dyDescent="0.2">
      <c r="A586" t="s">
        <v>189</v>
      </c>
      <c r="B586" t="s">
        <v>90</v>
      </c>
      <c r="C586" t="s">
        <v>91</v>
      </c>
      <c r="D586" s="3">
        <v>44351</v>
      </c>
      <c r="E586" s="1">
        <v>44351.643449074072</v>
      </c>
      <c r="F586" t="s">
        <v>17</v>
      </c>
      <c r="G586" t="s">
        <v>45</v>
      </c>
      <c r="H586" s="1">
        <v>44351.53125</v>
      </c>
      <c r="I586" s="1">
        <v>44351.666666666664</v>
      </c>
      <c r="J586" s="4">
        <f t="shared" si="9"/>
        <v>0.13541666666424135</v>
      </c>
      <c r="K586" t="s">
        <v>195</v>
      </c>
      <c r="M586">
        <v>0</v>
      </c>
      <c r="N586" s="6">
        <v>2.9745370370370373E-3</v>
      </c>
      <c r="Q586" s="2" t="s">
        <v>19</v>
      </c>
    </row>
    <row r="587" spans="1:17" ht="68" x14ac:dyDescent="0.2">
      <c r="A587" t="s">
        <v>189</v>
      </c>
      <c r="B587" t="s">
        <v>90</v>
      </c>
      <c r="C587" t="s">
        <v>91</v>
      </c>
      <c r="D587" s="3">
        <v>44351</v>
      </c>
      <c r="E587" s="1">
        <v>44351.643865740742</v>
      </c>
      <c r="F587" t="s">
        <v>17</v>
      </c>
      <c r="G587" t="s">
        <v>45</v>
      </c>
      <c r="H587" s="1">
        <v>44351.53125</v>
      </c>
      <c r="I587" s="1">
        <v>44351.666666666664</v>
      </c>
      <c r="J587" s="4">
        <f t="shared" si="9"/>
        <v>0.13541666666424135</v>
      </c>
      <c r="K587" t="s">
        <v>195</v>
      </c>
      <c r="M587">
        <v>0</v>
      </c>
      <c r="N587" s="6">
        <v>3.2407407407407406E-4</v>
      </c>
      <c r="Q587" s="2" t="s">
        <v>19</v>
      </c>
    </row>
    <row r="588" spans="1:17" ht="68" x14ac:dyDescent="0.2">
      <c r="A588" t="s">
        <v>189</v>
      </c>
      <c r="B588" t="s">
        <v>90</v>
      </c>
      <c r="C588" t="s">
        <v>91</v>
      </c>
      <c r="D588" s="3">
        <v>44351</v>
      </c>
      <c r="E588" s="1">
        <v>44351.647766203707</v>
      </c>
      <c r="F588" t="s">
        <v>17</v>
      </c>
      <c r="G588" t="s">
        <v>45</v>
      </c>
      <c r="H588" s="1">
        <v>44351.53125</v>
      </c>
      <c r="I588" s="1">
        <v>44351.666666666664</v>
      </c>
      <c r="J588" s="4">
        <f t="shared" si="9"/>
        <v>0.13541666666424135</v>
      </c>
      <c r="K588" t="s">
        <v>195</v>
      </c>
      <c r="M588">
        <v>0</v>
      </c>
      <c r="N588" s="6">
        <v>3.8194444444444443E-3</v>
      </c>
      <c r="Q588" s="2" t="s">
        <v>19</v>
      </c>
    </row>
    <row r="589" spans="1:17" ht="68" x14ac:dyDescent="0.2">
      <c r="A589" t="s">
        <v>189</v>
      </c>
      <c r="B589" t="s">
        <v>90</v>
      </c>
      <c r="C589" t="s">
        <v>91</v>
      </c>
      <c r="D589" s="3">
        <v>44351</v>
      </c>
      <c r="E589" s="1">
        <v>44351.658391203702</v>
      </c>
      <c r="F589" t="s">
        <v>17</v>
      </c>
      <c r="G589" t="s">
        <v>45</v>
      </c>
      <c r="H589" s="1">
        <v>44351.53125</v>
      </c>
      <c r="I589" s="1">
        <v>44351.666666666664</v>
      </c>
      <c r="J589" s="4">
        <f t="shared" si="9"/>
        <v>0.13541666666424135</v>
      </c>
      <c r="K589" t="s">
        <v>195</v>
      </c>
      <c r="M589">
        <v>0</v>
      </c>
      <c r="N589" s="6">
        <v>0</v>
      </c>
      <c r="Q589" s="2" t="s">
        <v>19</v>
      </c>
    </row>
    <row r="590" spans="1:17" ht="68" x14ac:dyDescent="0.2">
      <c r="A590" t="s">
        <v>189</v>
      </c>
      <c r="B590" t="s">
        <v>90</v>
      </c>
      <c r="C590" t="s">
        <v>91</v>
      </c>
      <c r="D590" s="3">
        <v>44354</v>
      </c>
      <c r="E590" s="1">
        <v>44354.387638888889</v>
      </c>
      <c r="F590" t="s">
        <v>17</v>
      </c>
      <c r="G590" t="s">
        <v>78</v>
      </c>
      <c r="H590" s="1">
        <v>44354.375</v>
      </c>
      <c r="I590" s="1">
        <v>44354.489583333336</v>
      </c>
      <c r="J590" s="4">
        <f t="shared" si="9"/>
        <v>0.11458333333575865</v>
      </c>
      <c r="K590" t="s">
        <v>215</v>
      </c>
      <c r="M590">
        <v>0</v>
      </c>
      <c r="N590" s="6">
        <v>1.8518518518518518E-4</v>
      </c>
      <c r="Q590" s="2" t="s">
        <v>19</v>
      </c>
    </row>
    <row r="591" spans="1:17" ht="68" x14ac:dyDescent="0.2">
      <c r="A591" t="s">
        <v>189</v>
      </c>
      <c r="B591" t="s">
        <v>90</v>
      </c>
      <c r="C591" t="s">
        <v>91</v>
      </c>
      <c r="D591" s="3">
        <v>44354</v>
      </c>
      <c r="E591" s="1">
        <v>44354.388229166667</v>
      </c>
      <c r="F591" t="s">
        <v>17</v>
      </c>
      <c r="G591" t="s">
        <v>78</v>
      </c>
      <c r="H591" s="1">
        <v>44354.375</v>
      </c>
      <c r="I591" s="1">
        <v>44354.489583333336</v>
      </c>
      <c r="J591" s="4">
        <f t="shared" si="9"/>
        <v>0.11458333333575865</v>
      </c>
      <c r="K591" t="s">
        <v>215</v>
      </c>
      <c r="M591">
        <v>0</v>
      </c>
      <c r="N591" s="6">
        <v>3.1250000000000001E-4</v>
      </c>
      <c r="Q591" s="2" t="s">
        <v>19</v>
      </c>
    </row>
    <row r="592" spans="1:17" ht="68" x14ac:dyDescent="0.2">
      <c r="A592" t="s">
        <v>189</v>
      </c>
      <c r="B592" t="s">
        <v>90</v>
      </c>
      <c r="C592" t="s">
        <v>91</v>
      </c>
      <c r="D592" s="3">
        <v>44354</v>
      </c>
      <c r="E592" s="1">
        <v>44354.390532407408</v>
      </c>
      <c r="F592" t="s">
        <v>17</v>
      </c>
      <c r="G592" t="s">
        <v>78</v>
      </c>
      <c r="H592" s="1">
        <v>44354.375</v>
      </c>
      <c r="I592" s="1">
        <v>44354.489583333336</v>
      </c>
      <c r="J592" s="4">
        <f t="shared" si="9"/>
        <v>0.11458333333575865</v>
      </c>
      <c r="K592" t="s">
        <v>215</v>
      </c>
      <c r="M592">
        <v>0</v>
      </c>
      <c r="N592" s="6">
        <v>1.8402777777777777E-3</v>
      </c>
      <c r="Q592" s="2" t="s">
        <v>19</v>
      </c>
    </row>
    <row r="593" spans="1:17" ht="68" x14ac:dyDescent="0.2">
      <c r="A593" t="s">
        <v>189</v>
      </c>
      <c r="B593" t="s">
        <v>90</v>
      </c>
      <c r="C593" t="s">
        <v>91</v>
      </c>
      <c r="D593" s="3">
        <v>44354</v>
      </c>
      <c r="E593" s="1">
        <v>44354.391493055555</v>
      </c>
      <c r="F593" t="s">
        <v>17</v>
      </c>
      <c r="G593" t="s">
        <v>78</v>
      </c>
      <c r="H593" s="1">
        <v>44354.375</v>
      </c>
      <c r="I593" s="1">
        <v>44354.489583333336</v>
      </c>
      <c r="J593" s="4">
        <f t="shared" si="9"/>
        <v>0.11458333333575865</v>
      </c>
      <c r="K593" t="s">
        <v>215</v>
      </c>
      <c r="M593">
        <v>0</v>
      </c>
      <c r="N593" s="6">
        <v>2.199074074074074E-4</v>
      </c>
      <c r="Q593" s="2" t="s">
        <v>19</v>
      </c>
    </row>
    <row r="594" spans="1:17" ht="68" x14ac:dyDescent="0.2">
      <c r="A594" t="s">
        <v>189</v>
      </c>
      <c r="B594" t="s">
        <v>90</v>
      </c>
      <c r="C594" t="s">
        <v>91</v>
      </c>
      <c r="D594" s="3">
        <v>44354</v>
      </c>
      <c r="E594" s="1">
        <v>44354.393449074072</v>
      </c>
      <c r="F594" t="s">
        <v>17</v>
      </c>
      <c r="G594" t="s">
        <v>78</v>
      </c>
      <c r="H594" s="1">
        <v>44354.375</v>
      </c>
      <c r="I594" s="1">
        <v>44354.489583333336</v>
      </c>
      <c r="J594" s="4">
        <f t="shared" si="9"/>
        <v>0.11458333333575865</v>
      </c>
      <c r="K594" t="s">
        <v>215</v>
      </c>
      <c r="M594">
        <v>0</v>
      </c>
      <c r="N594" s="6">
        <v>2.3148148148148147E-5</v>
      </c>
      <c r="Q594" s="2" t="s">
        <v>19</v>
      </c>
    </row>
    <row r="595" spans="1:17" ht="68" x14ac:dyDescent="0.2">
      <c r="A595" t="s">
        <v>189</v>
      </c>
      <c r="B595" t="s">
        <v>90</v>
      </c>
      <c r="C595" t="s">
        <v>91</v>
      </c>
      <c r="D595" s="3">
        <v>44354</v>
      </c>
      <c r="E595" s="1">
        <v>44354.394965277781</v>
      </c>
      <c r="F595" t="s">
        <v>17</v>
      </c>
      <c r="G595" t="s">
        <v>78</v>
      </c>
      <c r="H595" s="1">
        <v>44354.375</v>
      </c>
      <c r="I595" s="1">
        <v>44354.489583333336</v>
      </c>
      <c r="J595" s="4">
        <f t="shared" si="9"/>
        <v>0.11458333333575865</v>
      </c>
      <c r="K595" t="s">
        <v>215</v>
      </c>
      <c r="M595">
        <v>0</v>
      </c>
      <c r="N595" s="6">
        <v>9.1435185185185185E-4</v>
      </c>
      <c r="Q595" s="2" t="s">
        <v>19</v>
      </c>
    </row>
    <row r="596" spans="1:17" ht="68" x14ac:dyDescent="0.2">
      <c r="A596" t="s">
        <v>189</v>
      </c>
      <c r="B596" t="s">
        <v>90</v>
      </c>
      <c r="C596" t="s">
        <v>91</v>
      </c>
      <c r="D596" s="3">
        <v>44354</v>
      </c>
      <c r="E596" s="1">
        <v>44354.39943287037</v>
      </c>
      <c r="F596" t="s">
        <v>17</v>
      </c>
      <c r="G596" t="s">
        <v>78</v>
      </c>
      <c r="H596" s="1">
        <v>44354.375</v>
      </c>
      <c r="I596" s="1">
        <v>44354.489583333336</v>
      </c>
      <c r="J596" s="4">
        <f t="shared" si="9"/>
        <v>0.11458333333575865</v>
      </c>
      <c r="K596" t="s">
        <v>215</v>
      </c>
      <c r="M596">
        <v>0</v>
      </c>
      <c r="N596" s="6">
        <v>5.7870370370370366E-5</v>
      </c>
      <c r="Q596" s="2" t="s">
        <v>19</v>
      </c>
    </row>
    <row r="597" spans="1:17" ht="68" x14ac:dyDescent="0.2">
      <c r="A597" t="s">
        <v>189</v>
      </c>
      <c r="B597" t="s">
        <v>90</v>
      </c>
      <c r="C597" t="s">
        <v>91</v>
      </c>
      <c r="D597" s="3">
        <v>44354</v>
      </c>
      <c r="E597" s="1">
        <v>44354.408877314818</v>
      </c>
      <c r="F597" t="s">
        <v>17</v>
      </c>
      <c r="G597" t="s">
        <v>78</v>
      </c>
      <c r="H597" s="1">
        <v>44354.375</v>
      </c>
      <c r="I597" s="1">
        <v>44354.489583333336</v>
      </c>
      <c r="J597" s="4">
        <f t="shared" si="9"/>
        <v>0.11458333333575865</v>
      </c>
      <c r="K597" t="s">
        <v>215</v>
      </c>
      <c r="M597">
        <v>0</v>
      </c>
      <c r="N597" s="6">
        <v>4.2824074074074075E-4</v>
      </c>
      <c r="O597" t="s">
        <v>102</v>
      </c>
      <c r="P597" t="s">
        <v>109</v>
      </c>
      <c r="Q597" s="2" t="s">
        <v>19</v>
      </c>
    </row>
    <row r="598" spans="1:17" ht="68" x14ac:dyDescent="0.2">
      <c r="A598" t="s">
        <v>189</v>
      </c>
      <c r="B598" t="s">
        <v>90</v>
      </c>
      <c r="C598" t="s">
        <v>91</v>
      </c>
      <c r="D598" s="3">
        <v>44354</v>
      </c>
      <c r="E598" s="1">
        <v>44354.409745370373</v>
      </c>
      <c r="F598" t="s">
        <v>17</v>
      </c>
      <c r="G598" t="s">
        <v>78</v>
      </c>
      <c r="H598" s="1">
        <v>44354.375</v>
      </c>
      <c r="I598" s="1">
        <v>44354.489583333336</v>
      </c>
      <c r="J598" s="4">
        <f t="shared" si="9"/>
        <v>0.11458333333575865</v>
      </c>
      <c r="K598" t="s">
        <v>215</v>
      </c>
      <c r="M598">
        <v>0</v>
      </c>
      <c r="N598" s="6">
        <v>3.7037037037037035E-4</v>
      </c>
      <c r="O598" t="s">
        <v>102</v>
      </c>
      <c r="P598" t="s">
        <v>89</v>
      </c>
      <c r="Q598" s="2" t="s">
        <v>19</v>
      </c>
    </row>
    <row r="599" spans="1:17" ht="68" x14ac:dyDescent="0.2">
      <c r="A599" t="s">
        <v>189</v>
      </c>
      <c r="B599" t="s">
        <v>90</v>
      </c>
      <c r="C599" t="s">
        <v>91</v>
      </c>
      <c r="D599" s="3">
        <v>44354</v>
      </c>
      <c r="E599" s="1">
        <v>44354.411099537036</v>
      </c>
      <c r="F599" t="s">
        <v>17</v>
      </c>
      <c r="G599" t="s">
        <v>78</v>
      </c>
      <c r="H599" s="1">
        <v>44354.375</v>
      </c>
      <c r="I599" s="1">
        <v>44354.489583333336</v>
      </c>
      <c r="J599" s="4">
        <f t="shared" si="9"/>
        <v>0.11458333333575865</v>
      </c>
      <c r="K599" t="s">
        <v>215</v>
      </c>
      <c r="M599">
        <v>0</v>
      </c>
      <c r="N599" s="6">
        <v>7.5231481481481471E-4</v>
      </c>
      <c r="Q599" s="2" t="s">
        <v>19</v>
      </c>
    </row>
    <row r="600" spans="1:17" ht="68" x14ac:dyDescent="0.2">
      <c r="A600" t="s">
        <v>189</v>
      </c>
      <c r="B600" t="s">
        <v>90</v>
      </c>
      <c r="C600" t="s">
        <v>91</v>
      </c>
      <c r="D600" s="3">
        <v>44354</v>
      </c>
      <c r="E600" s="1">
        <v>44354.411886574075</v>
      </c>
      <c r="F600" t="s">
        <v>17</v>
      </c>
      <c r="G600" t="s">
        <v>78</v>
      </c>
      <c r="H600" s="1">
        <v>44354.375</v>
      </c>
      <c r="I600" s="1">
        <v>44354.489583333336</v>
      </c>
      <c r="J600" s="4">
        <f t="shared" si="9"/>
        <v>0.11458333333575865</v>
      </c>
      <c r="K600" t="s">
        <v>215</v>
      </c>
      <c r="M600">
        <v>0</v>
      </c>
      <c r="N600" s="6">
        <v>2.8935185185185189E-4</v>
      </c>
      <c r="Q600" s="2" t="s">
        <v>19</v>
      </c>
    </row>
    <row r="601" spans="1:17" ht="68" x14ac:dyDescent="0.2">
      <c r="A601" t="s">
        <v>189</v>
      </c>
      <c r="B601" t="s">
        <v>90</v>
      </c>
      <c r="C601" t="s">
        <v>91</v>
      </c>
      <c r="D601" s="3">
        <v>44354</v>
      </c>
      <c r="E601" s="1">
        <v>44354.434664351851</v>
      </c>
      <c r="F601" t="s">
        <v>17</v>
      </c>
      <c r="G601" t="s">
        <v>78</v>
      </c>
      <c r="H601" s="1">
        <v>44354.375</v>
      </c>
      <c r="I601" s="1">
        <v>44354.489583333336</v>
      </c>
      <c r="J601" s="4">
        <f t="shared" si="9"/>
        <v>0.11458333333575865</v>
      </c>
      <c r="K601" t="s">
        <v>215</v>
      </c>
      <c r="M601">
        <v>0</v>
      </c>
      <c r="N601" s="6">
        <v>9.1435185185185185E-4</v>
      </c>
      <c r="Q601" s="2" t="s">
        <v>19</v>
      </c>
    </row>
    <row r="602" spans="1:17" ht="68" x14ac:dyDescent="0.2">
      <c r="A602" t="s">
        <v>189</v>
      </c>
      <c r="B602" t="s">
        <v>90</v>
      </c>
      <c r="C602" t="s">
        <v>91</v>
      </c>
      <c r="D602" s="3">
        <v>44354</v>
      </c>
      <c r="E602" s="1">
        <v>44354.435312499998</v>
      </c>
      <c r="F602" t="s">
        <v>17</v>
      </c>
      <c r="G602" t="s">
        <v>78</v>
      </c>
      <c r="H602" s="1">
        <v>44354.375</v>
      </c>
      <c r="I602" s="1">
        <v>44354.489583333336</v>
      </c>
      <c r="J602" s="4">
        <f t="shared" si="9"/>
        <v>0.11458333333575865</v>
      </c>
      <c r="K602" t="s">
        <v>215</v>
      </c>
      <c r="M602">
        <v>0</v>
      </c>
      <c r="N602" s="6">
        <v>5.9027777777777778E-4</v>
      </c>
      <c r="Q602" s="2" t="s">
        <v>19</v>
      </c>
    </row>
    <row r="603" spans="1:17" ht="68" x14ac:dyDescent="0.2">
      <c r="A603" t="s">
        <v>189</v>
      </c>
      <c r="B603" t="s">
        <v>90</v>
      </c>
      <c r="C603" t="s">
        <v>91</v>
      </c>
      <c r="D603" s="3">
        <v>44354</v>
      </c>
      <c r="E603" s="1">
        <v>44354.436562499999</v>
      </c>
      <c r="F603" t="s">
        <v>17</v>
      </c>
      <c r="G603" t="s">
        <v>78</v>
      </c>
      <c r="H603" s="1">
        <v>44354.375</v>
      </c>
      <c r="I603" s="1">
        <v>44354.489583333336</v>
      </c>
      <c r="J603" s="4">
        <f t="shared" si="9"/>
        <v>0.11458333333575865</v>
      </c>
      <c r="K603" t="s">
        <v>215</v>
      </c>
      <c r="M603">
        <v>0</v>
      </c>
      <c r="N603" s="6">
        <v>1.0069444444444444E-3</v>
      </c>
      <c r="Q603" s="2" t="s">
        <v>19</v>
      </c>
    </row>
    <row r="604" spans="1:17" ht="68" x14ac:dyDescent="0.2">
      <c r="A604" t="s">
        <v>189</v>
      </c>
      <c r="B604" t="s">
        <v>90</v>
      </c>
      <c r="C604" t="s">
        <v>91</v>
      </c>
      <c r="D604" s="3">
        <v>44354</v>
      </c>
      <c r="E604" s="1">
        <v>44354.437326388892</v>
      </c>
      <c r="F604" t="s">
        <v>17</v>
      </c>
      <c r="G604" t="s">
        <v>78</v>
      </c>
      <c r="H604" s="1">
        <v>44354.375</v>
      </c>
      <c r="I604" s="1">
        <v>44354.489583333336</v>
      </c>
      <c r="J604" s="4">
        <f t="shared" si="9"/>
        <v>0.11458333333575865</v>
      </c>
      <c r="K604" t="s">
        <v>215</v>
      </c>
      <c r="M604">
        <v>0</v>
      </c>
      <c r="N604" s="6">
        <v>6.5972222222222213E-4</v>
      </c>
      <c r="O604" t="s">
        <v>88</v>
      </c>
      <c r="P604" t="s">
        <v>110</v>
      </c>
      <c r="Q604" s="2" t="s">
        <v>19</v>
      </c>
    </row>
    <row r="605" spans="1:17" ht="68" x14ac:dyDescent="0.2">
      <c r="A605" t="s">
        <v>189</v>
      </c>
      <c r="B605" t="s">
        <v>90</v>
      </c>
      <c r="C605" t="s">
        <v>91</v>
      </c>
      <c r="D605" s="3">
        <v>44354</v>
      </c>
      <c r="E605" s="1">
        <v>44354.451435185183</v>
      </c>
      <c r="F605" t="s">
        <v>17</v>
      </c>
      <c r="G605" t="s">
        <v>78</v>
      </c>
      <c r="H605" s="1">
        <v>44354.375</v>
      </c>
      <c r="I605" s="1">
        <v>44354.489583333336</v>
      </c>
      <c r="J605" s="4">
        <f t="shared" si="9"/>
        <v>0.11458333333575865</v>
      </c>
      <c r="K605" t="s">
        <v>215</v>
      </c>
      <c r="M605">
        <v>0</v>
      </c>
      <c r="N605" s="6">
        <v>2.3148148148148146E-4</v>
      </c>
      <c r="Q605" s="2" t="s">
        <v>19</v>
      </c>
    </row>
    <row r="606" spans="1:17" ht="68" x14ac:dyDescent="0.2">
      <c r="A606" t="s">
        <v>189</v>
      </c>
      <c r="B606" t="s">
        <v>90</v>
      </c>
      <c r="C606" t="s">
        <v>91</v>
      </c>
      <c r="D606" s="3">
        <v>44354</v>
      </c>
      <c r="E606" s="1">
        <v>44354.453067129631</v>
      </c>
      <c r="F606" t="s">
        <v>17</v>
      </c>
      <c r="G606" t="s">
        <v>78</v>
      </c>
      <c r="H606" s="1">
        <v>44354.375</v>
      </c>
      <c r="I606" s="1">
        <v>44354.489583333336</v>
      </c>
      <c r="J606" s="4">
        <f t="shared" si="9"/>
        <v>0.11458333333575865</v>
      </c>
      <c r="K606" t="s">
        <v>215</v>
      </c>
      <c r="M606">
        <v>0</v>
      </c>
      <c r="N606" s="6">
        <v>4.6296296296296294E-5</v>
      </c>
      <c r="Q606" s="2" t="s">
        <v>19</v>
      </c>
    </row>
    <row r="607" spans="1:17" ht="68" x14ac:dyDescent="0.2">
      <c r="A607" t="s">
        <v>189</v>
      </c>
      <c r="B607" t="s">
        <v>90</v>
      </c>
      <c r="C607" t="s">
        <v>91</v>
      </c>
      <c r="D607" s="3">
        <v>44354</v>
      </c>
      <c r="E607" s="1">
        <v>44354.453356481485</v>
      </c>
      <c r="F607" t="s">
        <v>17</v>
      </c>
      <c r="G607" t="s">
        <v>78</v>
      </c>
      <c r="H607" s="1">
        <v>44354.375</v>
      </c>
      <c r="I607" s="1">
        <v>44354.489583333336</v>
      </c>
      <c r="J607" s="4">
        <f t="shared" si="9"/>
        <v>0.11458333333575865</v>
      </c>
      <c r="K607" t="s">
        <v>215</v>
      </c>
      <c r="M607">
        <v>0</v>
      </c>
      <c r="N607" s="6">
        <v>2.3148148148148146E-4</v>
      </c>
      <c r="Q607" s="2" t="s">
        <v>19</v>
      </c>
    </row>
    <row r="608" spans="1:17" ht="68" x14ac:dyDescent="0.2">
      <c r="A608" t="s">
        <v>189</v>
      </c>
      <c r="B608" t="s">
        <v>90</v>
      </c>
      <c r="C608" t="s">
        <v>91</v>
      </c>
      <c r="D608" s="3">
        <v>44354</v>
      </c>
      <c r="E608" s="1">
        <v>44354.489305555559</v>
      </c>
      <c r="F608" t="s">
        <v>17</v>
      </c>
      <c r="G608" t="s">
        <v>78</v>
      </c>
      <c r="H608" s="1">
        <v>44354.375</v>
      </c>
      <c r="I608" s="1">
        <v>44354.489583333336</v>
      </c>
      <c r="J608" s="4">
        <f t="shared" si="9"/>
        <v>0.11458333333575865</v>
      </c>
      <c r="K608" t="s">
        <v>215</v>
      </c>
      <c r="M608">
        <v>0</v>
      </c>
      <c r="N608" s="6">
        <v>0</v>
      </c>
      <c r="Q608" s="2" t="s">
        <v>19</v>
      </c>
    </row>
    <row r="609" spans="1:17" ht="68" x14ac:dyDescent="0.2">
      <c r="A609" t="s">
        <v>189</v>
      </c>
      <c r="B609" t="s">
        <v>90</v>
      </c>
      <c r="C609" t="s">
        <v>91</v>
      </c>
      <c r="D609" s="3">
        <v>44354</v>
      </c>
      <c r="E609" s="1">
        <v>44354.534791666665</v>
      </c>
      <c r="F609" t="s">
        <v>17</v>
      </c>
      <c r="G609" t="s">
        <v>79</v>
      </c>
      <c r="H609" s="1">
        <v>44354.530555555553</v>
      </c>
      <c r="I609" s="1">
        <v>44354.645833333336</v>
      </c>
      <c r="J609" s="4">
        <f t="shared" si="9"/>
        <v>0.11527777778246673</v>
      </c>
      <c r="K609" t="s">
        <v>200</v>
      </c>
      <c r="M609">
        <v>0</v>
      </c>
      <c r="N609" s="6">
        <v>1.3078703703703705E-3</v>
      </c>
      <c r="Q609" s="2" t="s">
        <v>19</v>
      </c>
    </row>
    <row r="610" spans="1:17" ht="68" x14ac:dyDescent="0.2">
      <c r="A610" t="s">
        <v>189</v>
      </c>
      <c r="B610" t="s">
        <v>90</v>
      </c>
      <c r="C610" t="s">
        <v>91</v>
      </c>
      <c r="D610" s="3">
        <v>44354</v>
      </c>
      <c r="E610" s="1">
        <v>44354.54619212963</v>
      </c>
      <c r="F610" t="s">
        <v>17</v>
      </c>
      <c r="G610" t="s">
        <v>79</v>
      </c>
      <c r="H610" s="1">
        <v>44354.530555555553</v>
      </c>
      <c r="I610" s="1">
        <v>44354.645833333336</v>
      </c>
      <c r="J610" s="4">
        <f t="shared" si="9"/>
        <v>0.11527777778246673</v>
      </c>
      <c r="K610" t="s">
        <v>200</v>
      </c>
      <c r="M610">
        <v>0</v>
      </c>
      <c r="N610" s="6">
        <v>1.3773148148148147E-3</v>
      </c>
      <c r="Q610" s="2" t="s">
        <v>19</v>
      </c>
    </row>
    <row r="611" spans="1:17" ht="68" x14ac:dyDescent="0.2">
      <c r="A611" t="s">
        <v>189</v>
      </c>
      <c r="B611" t="s">
        <v>90</v>
      </c>
      <c r="C611" t="s">
        <v>91</v>
      </c>
      <c r="D611" s="3">
        <v>44354</v>
      </c>
      <c r="E611" s="1">
        <v>44354.643379629626</v>
      </c>
      <c r="F611" t="s">
        <v>17</v>
      </c>
      <c r="G611" t="s">
        <v>79</v>
      </c>
      <c r="H611" s="1">
        <v>44354.530555555553</v>
      </c>
      <c r="I611" s="1">
        <v>44354.645833333336</v>
      </c>
      <c r="J611" s="4">
        <f t="shared" si="9"/>
        <v>0.11527777778246673</v>
      </c>
      <c r="K611" t="s">
        <v>200</v>
      </c>
      <c r="M611">
        <v>0</v>
      </c>
      <c r="N611" s="6">
        <v>3.7037037037037035E-4</v>
      </c>
      <c r="Q611" s="2" t="s">
        <v>19</v>
      </c>
    </row>
    <row r="612" spans="1:17" ht="68" x14ac:dyDescent="0.2">
      <c r="A612" t="s">
        <v>189</v>
      </c>
      <c r="B612" t="s">
        <v>90</v>
      </c>
      <c r="C612" t="s">
        <v>91</v>
      </c>
      <c r="D612" s="3">
        <v>44355</v>
      </c>
      <c r="E612" s="1">
        <v>44355.41306712963</v>
      </c>
      <c r="F612" t="s">
        <v>17</v>
      </c>
      <c r="G612" t="s">
        <v>80</v>
      </c>
      <c r="H612" s="1">
        <v>44355.375</v>
      </c>
      <c r="I612" s="1">
        <v>44355.489583333336</v>
      </c>
      <c r="J612" s="4">
        <f t="shared" si="9"/>
        <v>0.11458333333575865</v>
      </c>
      <c r="K612" t="s">
        <v>216</v>
      </c>
      <c r="M612">
        <v>0</v>
      </c>
      <c r="N612" s="6">
        <v>1.2962962962962963E-3</v>
      </c>
      <c r="Q612" s="2" t="s">
        <v>19</v>
      </c>
    </row>
    <row r="613" spans="1:17" ht="68" x14ac:dyDescent="0.2">
      <c r="A613" t="s">
        <v>189</v>
      </c>
      <c r="B613" t="s">
        <v>90</v>
      </c>
      <c r="C613" t="s">
        <v>91</v>
      </c>
      <c r="D613" s="3">
        <v>44355</v>
      </c>
      <c r="E613" s="1">
        <v>44355.419537037036</v>
      </c>
      <c r="F613" t="s">
        <v>17</v>
      </c>
      <c r="G613" t="s">
        <v>80</v>
      </c>
      <c r="H613" s="1">
        <v>44355.375</v>
      </c>
      <c r="I613" s="1">
        <v>44355.489583333336</v>
      </c>
      <c r="J613" s="4">
        <f t="shared" si="9"/>
        <v>0.11458333333575865</v>
      </c>
      <c r="K613" t="s">
        <v>216</v>
      </c>
      <c r="M613">
        <v>0</v>
      </c>
      <c r="N613" s="6">
        <v>2.4305555555555556E-3</v>
      </c>
      <c r="Q613" s="2" t="s">
        <v>19</v>
      </c>
    </row>
    <row r="614" spans="1:17" ht="68" x14ac:dyDescent="0.2">
      <c r="A614" t="s">
        <v>189</v>
      </c>
      <c r="B614" t="s">
        <v>90</v>
      </c>
      <c r="C614" t="s">
        <v>91</v>
      </c>
      <c r="D614" s="3">
        <v>44355</v>
      </c>
      <c r="E614" s="1">
        <v>44355.455717592595</v>
      </c>
      <c r="F614" t="s">
        <v>17</v>
      </c>
      <c r="G614" t="s">
        <v>80</v>
      </c>
      <c r="H614" s="1">
        <v>44355.375</v>
      </c>
      <c r="I614" s="1">
        <v>44355.489583333336</v>
      </c>
      <c r="J614" s="4">
        <f t="shared" si="9"/>
        <v>0.11458333333575865</v>
      </c>
      <c r="K614" t="s">
        <v>216</v>
      </c>
      <c r="M614">
        <v>0</v>
      </c>
      <c r="N614" s="6">
        <v>1.6203703703703703E-3</v>
      </c>
      <c r="Q614" s="2" t="s">
        <v>19</v>
      </c>
    </row>
    <row r="615" spans="1:17" ht="68" x14ac:dyDescent="0.2">
      <c r="A615" t="s">
        <v>189</v>
      </c>
      <c r="B615" t="s">
        <v>90</v>
      </c>
      <c r="C615" t="s">
        <v>91</v>
      </c>
      <c r="D615" s="3">
        <v>44355</v>
      </c>
      <c r="E615" s="1">
        <v>44355.465833333335</v>
      </c>
      <c r="F615" t="s">
        <v>17</v>
      </c>
      <c r="G615" t="s">
        <v>80</v>
      </c>
      <c r="H615" s="1">
        <v>44355.375</v>
      </c>
      <c r="I615" s="1">
        <v>44355.489583333336</v>
      </c>
      <c r="J615" s="4">
        <f t="shared" si="9"/>
        <v>0.11458333333575865</v>
      </c>
      <c r="K615" t="s">
        <v>216</v>
      </c>
      <c r="M615">
        <v>0</v>
      </c>
      <c r="N615" s="6">
        <v>4.7453703703703704E-4</v>
      </c>
      <c r="Q615" s="2" t="s">
        <v>19</v>
      </c>
    </row>
    <row r="616" spans="1:17" ht="68" x14ac:dyDescent="0.2">
      <c r="A616" t="s">
        <v>189</v>
      </c>
      <c r="B616" t="s">
        <v>90</v>
      </c>
      <c r="C616" t="s">
        <v>91</v>
      </c>
      <c r="D616" s="3">
        <v>44355</v>
      </c>
      <c r="E616" s="1">
        <v>44355.470810185187</v>
      </c>
      <c r="F616" t="s">
        <v>17</v>
      </c>
      <c r="G616" t="s">
        <v>80</v>
      </c>
      <c r="H616" s="1">
        <v>44355.375</v>
      </c>
      <c r="I616" s="1">
        <v>44355.489583333336</v>
      </c>
      <c r="J616" s="4">
        <f t="shared" si="9"/>
        <v>0.11458333333575865</v>
      </c>
      <c r="K616" t="s">
        <v>216</v>
      </c>
      <c r="M616">
        <v>0</v>
      </c>
      <c r="N616" s="6">
        <v>1.9097222222222222E-3</v>
      </c>
      <c r="Q616" s="2" t="s">
        <v>19</v>
      </c>
    </row>
    <row r="617" spans="1:17" ht="68" x14ac:dyDescent="0.2">
      <c r="A617" t="s">
        <v>189</v>
      </c>
      <c r="B617" t="s">
        <v>90</v>
      </c>
      <c r="C617" t="s">
        <v>91</v>
      </c>
      <c r="D617" s="3">
        <v>44355</v>
      </c>
      <c r="E617" s="1">
        <v>44355.672129629631</v>
      </c>
      <c r="F617" t="s">
        <v>17</v>
      </c>
      <c r="G617" t="s">
        <v>48</v>
      </c>
      <c r="H617" s="1">
        <v>44355.541666666664</v>
      </c>
      <c r="I617" s="1">
        <v>44355.666666666664</v>
      </c>
      <c r="J617" s="4">
        <f t="shared" si="9"/>
        <v>0.125</v>
      </c>
      <c r="K617" t="s">
        <v>192</v>
      </c>
      <c r="M617">
        <v>0</v>
      </c>
      <c r="N617" s="6">
        <v>0</v>
      </c>
      <c r="Q617" s="2" t="s">
        <v>19</v>
      </c>
    </row>
    <row r="618" spans="1:17" ht="68" x14ac:dyDescent="0.2">
      <c r="A618" t="s">
        <v>189</v>
      </c>
      <c r="B618" t="s">
        <v>90</v>
      </c>
      <c r="C618" t="s">
        <v>91</v>
      </c>
      <c r="D618" s="3">
        <v>44356</v>
      </c>
      <c r="E618" s="1">
        <v>44356.484884259262</v>
      </c>
      <c r="F618" t="s">
        <v>17</v>
      </c>
      <c r="G618" t="s">
        <v>78</v>
      </c>
      <c r="H618" s="1">
        <v>44356.375</v>
      </c>
      <c r="I618" s="1">
        <v>44356.489583333336</v>
      </c>
      <c r="J618" s="4">
        <f t="shared" si="9"/>
        <v>0.11458333333575865</v>
      </c>
      <c r="K618" t="s">
        <v>197</v>
      </c>
      <c r="M618">
        <v>0</v>
      </c>
      <c r="N618" s="6">
        <v>0</v>
      </c>
      <c r="Q618" s="2" t="s">
        <v>19</v>
      </c>
    </row>
    <row r="619" spans="1:17" ht="68" x14ac:dyDescent="0.2">
      <c r="A619" t="s">
        <v>189</v>
      </c>
      <c r="B619" t="s">
        <v>90</v>
      </c>
      <c r="C619" t="s">
        <v>91</v>
      </c>
      <c r="D619" s="3">
        <v>44356</v>
      </c>
      <c r="E619" s="1">
        <v>44356.587500000001</v>
      </c>
      <c r="F619" t="s">
        <v>17</v>
      </c>
      <c r="G619" t="s">
        <v>58</v>
      </c>
      <c r="H619" s="1">
        <v>44356.54791666667</v>
      </c>
      <c r="I619" s="1">
        <v>44356.666666666664</v>
      </c>
      <c r="J619" s="4">
        <f t="shared" si="9"/>
        <v>0.11874999999417923</v>
      </c>
      <c r="K619" t="s">
        <v>200</v>
      </c>
      <c r="M619">
        <v>0</v>
      </c>
      <c r="N619" s="6">
        <v>3.4490740740740745E-3</v>
      </c>
      <c r="Q619" s="2" t="s">
        <v>19</v>
      </c>
    </row>
    <row r="620" spans="1:17" ht="68" x14ac:dyDescent="0.2">
      <c r="A620" t="s">
        <v>189</v>
      </c>
      <c r="B620" t="s">
        <v>90</v>
      </c>
      <c r="C620" t="s">
        <v>91</v>
      </c>
      <c r="D620" s="3">
        <v>44356</v>
      </c>
      <c r="E620" s="1">
        <v>44356.587569444448</v>
      </c>
      <c r="F620" t="s">
        <v>17</v>
      </c>
      <c r="G620" t="s">
        <v>58</v>
      </c>
      <c r="H620" s="1">
        <v>44356.54791666667</v>
      </c>
      <c r="I620" s="1">
        <v>44356.666666666664</v>
      </c>
      <c r="J620" s="4">
        <f t="shared" si="9"/>
        <v>0.11874999999417923</v>
      </c>
      <c r="K620" t="s">
        <v>200</v>
      </c>
      <c r="M620">
        <v>0</v>
      </c>
      <c r="N620" s="6">
        <v>2.3148148148148147E-5</v>
      </c>
      <c r="Q620" s="2" t="s">
        <v>19</v>
      </c>
    </row>
    <row r="621" spans="1:17" ht="68" x14ac:dyDescent="0.2">
      <c r="A621" t="s">
        <v>189</v>
      </c>
      <c r="B621" t="s">
        <v>90</v>
      </c>
      <c r="C621" t="s">
        <v>91</v>
      </c>
      <c r="D621" s="3">
        <v>44358</v>
      </c>
      <c r="E621" s="1">
        <v>44358.489618055559</v>
      </c>
      <c r="F621" t="s">
        <v>17</v>
      </c>
      <c r="G621" t="s">
        <v>53</v>
      </c>
      <c r="H621" s="1">
        <v>44358.375</v>
      </c>
      <c r="I621" s="1">
        <v>44358.489583333336</v>
      </c>
      <c r="J621" s="4">
        <f t="shared" si="9"/>
        <v>0.11458333333575865</v>
      </c>
      <c r="K621" t="s">
        <v>199</v>
      </c>
      <c r="M621">
        <v>0</v>
      </c>
      <c r="N621" s="6">
        <v>0</v>
      </c>
      <c r="Q621" s="2" t="s">
        <v>19</v>
      </c>
    </row>
    <row r="622" spans="1:17" ht="68" x14ac:dyDescent="0.2">
      <c r="A622" t="s">
        <v>189</v>
      </c>
      <c r="B622" t="s">
        <v>90</v>
      </c>
      <c r="C622" t="s">
        <v>91</v>
      </c>
      <c r="D622" s="3">
        <v>44358</v>
      </c>
      <c r="E622" s="1">
        <v>44358.564976851849</v>
      </c>
      <c r="F622" t="s">
        <v>17</v>
      </c>
      <c r="G622" t="s">
        <v>82</v>
      </c>
      <c r="H622" s="1">
        <v>44358.53125</v>
      </c>
      <c r="I622" s="1">
        <v>44358.645833333336</v>
      </c>
      <c r="J622" s="4">
        <f t="shared" si="9"/>
        <v>0.11458333333575865</v>
      </c>
      <c r="K622" t="s">
        <v>200</v>
      </c>
      <c r="M622">
        <v>0</v>
      </c>
      <c r="N622" s="6">
        <v>3.1250000000000001E-4</v>
      </c>
      <c r="Q622" s="2" t="s">
        <v>19</v>
      </c>
    </row>
    <row r="623" spans="1:17" ht="68" x14ac:dyDescent="0.2">
      <c r="A623" t="s">
        <v>189</v>
      </c>
      <c r="B623" t="s">
        <v>90</v>
      </c>
      <c r="C623" t="s">
        <v>91</v>
      </c>
      <c r="D623" s="3">
        <v>44358</v>
      </c>
      <c r="E623" s="1">
        <v>44358.64398148148</v>
      </c>
      <c r="F623" t="s">
        <v>17</v>
      </c>
      <c r="G623" t="s">
        <v>82</v>
      </c>
      <c r="H623" s="1">
        <v>44358.53125</v>
      </c>
      <c r="I623" s="1">
        <v>44358.645833333336</v>
      </c>
      <c r="J623" s="4">
        <f t="shared" si="9"/>
        <v>0.11458333333575865</v>
      </c>
      <c r="K623" t="s">
        <v>200</v>
      </c>
      <c r="M623">
        <v>0</v>
      </c>
      <c r="N623" s="6">
        <v>3.4722222222222224E-4</v>
      </c>
      <c r="Q623" s="2" t="s">
        <v>19</v>
      </c>
    </row>
    <row r="624" spans="1:17" ht="68" x14ac:dyDescent="0.2">
      <c r="A624" t="s">
        <v>189</v>
      </c>
      <c r="B624" t="s">
        <v>90</v>
      </c>
      <c r="C624" t="s">
        <v>91</v>
      </c>
      <c r="D624" s="3">
        <v>44361</v>
      </c>
      <c r="E624" s="1">
        <v>44361.405601851853</v>
      </c>
      <c r="F624" t="s">
        <v>17</v>
      </c>
      <c r="G624" t="s">
        <v>46</v>
      </c>
      <c r="H624" s="1">
        <v>44361.375</v>
      </c>
      <c r="I624" s="1">
        <v>44361.489583333336</v>
      </c>
      <c r="J624" s="4">
        <f t="shared" si="9"/>
        <v>0.11458333333575865</v>
      </c>
      <c r="K624" t="s">
        <v>199</v>
      </c>
      <c r="M624">
        <v>0</v>
      </c>
      <c r="N624" s="6">
        <v>1.0034722222222221E-2</v>
      </c>
      <c r="Q624" s="2" t="s">
        <v>19</v>
      </c>
    </row>
    <row r="625" spans="1:17" ht="68" x14ac:dyDescent="0.2">
      <c r="A625" t="s">
        <v>189</v>
      </c>
      <c r="B625" t="s">
        <v>90</v>
      </c>
      <c r="C625" t="s">
        <v>91</v>
      </c>
      <c r="D625" s="3">
        <v>44361</v>
      </c>
      <c r="E625" s="1">
        <v>44361.407905092594</v>
      </c>
      <c r="F625" t="s">
        <v>17</v>
      </c>
      <c r="G625" t="s">
        <v>46</v>
      </c>
      <c r="H625" s="1">
        <v>44361.375</v>
      </c>
      <c r="I625" s="1">
        <v>44361.489583333336</v>
      </c>
      <c r="J625" s="4">
        <f t="shared" si="9"/>
        <v>0.11458333333575865</v>
      </c>
      <c r="K625" t="s">
        <v>199</v>
      </c>
      <c r="M625">
        <v>0</v>
      </c>
      <c r="N625" s="6">
        <v>1.273148148148148E-4</v>
      </c>
      <c r="Q625" s="2" t="s">
        <v>19</v>
      </c>
    </row>
    <row r="626" spans="1:17" ht="68" x14ac:dyDescent="0.2">
      <c r="A626" t="s">
        <v>189</v>
      </c>
      <c r="B626" t="s">
        <v>90</v>
      </c>
      <c r="C626" t="s">
        <v>91</v>
      </c>
      <c r="D626" s="3">
        <v>44361</v>
      </c>
      <c r="E626" s="1">
        <v>44361.40896990741</v>
      </c>
      <c r="F626" t="s">
        <v>17</v>
      </c>
      <c r="G626" t="s">
        <v>46</v>
      </c>
      <c r="H626" s="1">
        <v>44361.375</v>
      </c>
      <c r="I626" s="1">
        <v>44361.489583333336</v>
      </c>
      <c r="J626" s="4">
        <f t="shared" si="9"/>
        <v>0.11458333333575865</v>
      </c>
      <c r="K626" t="s">
        <v>199</v>
      </c>
      <c r="M626">
        <v>0</v>
      </c>
      <c r="N626" s="6">
        <v>2.6620370370370372E-4</v>
      </c>
      <c r="Q626" s="2" t="s">
        <v>19</v>
      </c>
    </row>
    <row r="627" spans="1:17" ht="68" x14ac:dyDescent="0.2">
      <c r="A627" t="s">
        <v>189</v>
      </c>
      <c r="B627" t="s">
        <v>90</v>
      </c>
      <c r="C627" t="s">
        <v>91</v>
      </c>
      <c r="D627" s="3">
        <v>44361</v>
      </c>
      <c r="E627" s="1">
        <v>44361.410208333335</v>
      </c>
      <c r="F627" t="s">
        <v>17</v>
      </c>
      <c r="G627" t="s">
        <v>46</v>
      </c>
      <c r="H627" s="1">
        <v>44361.375</v>
      </c>
      <c r="I627" s="1">
        <v>44361.489583333336</v>
      </c>
      <c r="J627" s="4">
        <f t="shared" si="9"/>
        <v>0.11458333333575865</v>
      </c>
      <c r="K627" t="s">
        <v>199</v>
      </c>
      <c r="M627">
        <v>0</v>
      </c>
      <c r="N627" s="6">
        <v>4.6296296296296293E-4</v>
      </c>
      <c r="Q627" s="2" t="s">
        <v>19</v>
      </c>
    </row>
    <row r="628" spans="1:17" ht="68" x14ac:dyDescent="0.2">
      <c r="A628" t="s">
        <v>189</v>
      </c>
      <c r="B628" t="s">
        <v>90</v>
      </c>
      <c r="C628" t="s">
        <v>91</v>
      </c>
      <c r="D628" s="3">
        <v>44361</v>
      </c>
      <c r="E628" s="1">
        <v>44361.487326388888</v>
      </c>
      <c r="F628" t="s">
        <v>17</v>
      </c>
      <c r="G628" t="s">
        <v>46</v>
      </c>
      <c r="H628" s="1">
        <v>44361.375</v>
      </c>
      <c r="I628" s="1">
        <v>44361.489583333336</v>
      </c>
      <c r="J628" s="4">
        <f t="shared" si="9"/>
        <v>0.11458333333575865</v>
      </c>
      <c r="K628" t="s">
        <v>199</v>
      </c>
      <c r="M628">
        <v>0</v>
      </c>
      <c r="N628" s="6">
        <v>0</v>
      </c>
      <c r="Q628" s="2" t="s">
        <v>19</v>
      </c>
    </row>
    <row r="629" spans="1:17" ht="68" x14ac:dyDescent="0.2">
      <c r="A629" t="s">
        <v>189</v>
      </c>
      <c r="B629" t="s">
        <v>90</v>
      </c>
      <c r="C629" t="s">
        <v>91</v>
      </c>
      <c r="D629" s="3">
        <v>44361</v>
      </c>
      <c r="E629" s="1">
        <v>44361.643888888888</v>
      </c>
      <c r="F629" t="s">
        <v>17</v>
      </c>
      <c r="G629" t="s">
        <v>35</v>
      </c>
      <c r="H629" s="1">
        <v>44361.537499999999</v>
      </c>
      <c r="I629" s="1">
        <v>44361.645833333336</v>
      </c>
      <c r="J629" s="4">
        <f t="shared" si="9"/>
        <v>0.10833333333721384</v>
      </c>
      <c r="K629" t="s">
        <v>200</v>
      </c>
      <c r="M629">
        <v>0</v>
      </c>
      <c r="N629" s="6">
        <v>2.0833333333333335E-4</v>
      </c>
      <c r="Q629" s="2" t="s">
        <v>19</v>
      </c>
    </row>
    <row r="630" spans="1:17" ht="68" x14ac:dyDescent="0.2">
      <c r="A630" t="s">
        <v>189</v>
      </c>
      <c r="B630" t="s">
        <v>90</v>
      </c>
      <c r="C630" t="s">
        <v>91</v>
      </c>
      <c r="D630" s="3">
        <v>44361</v>
      </c>
      <c r="E630" s="1">
        <v>44361.650914351849</v>
      </c>
      <c r="F630" t="s">
        <v>17</v>
      </c>
      <c r="G630" t="s">
        <v>111</v>
      </c>
      <c r="H630" s="1">
        <v>44361.649305555555</v>
      </c>
      <c r="I630" s="1">
        <v>44361.670138888891</v>
      </c>
      <c r="J630" s="4">
        <f t="shared" si="9"/>
        <v>2.0833333335758653E-2</v>
      </c>
      <c r="K630" t="s">
        <v>220</v>
      </c>
      <c r="M630">
        <v>0</v>
      </c>
      <c r="N630" s="6">
        <v>3.8194444444444446E-4</v>
      </c>
      <c r="Q630" s="2" t="s">
        <v>19</v>
      </c>
    </row>
    <row r="631" spans="1:17" ht="119" x14ac:dyDescent="0.2">
      <c r="A631" t="s">
        <v>189</v>
      </c>
      <c r="B631" t="s">
        <v>90</v>
      </c>
      <c r="C631" t="s">
        <v>91</v>
      </c>
      <c r="D631" s="3">
        <v>44363</v>
      </c>
      <c r="E631" s="1">
        <v>44363.564097222225</v>
      </c>
      <c r="F631" t="s">
        <v>17</v>
      </c>
      <c r="G631" t="s">
        <v>79</v>
      </c>
      <c r="H631" s="1">
        <v>44363.53125</v>
      </c>
      <c r="I631" s="1">
        <v>44363.666666666664</v>
      </c>
      <c r="J631" s="4">
        <f t="shared" si="9"/>
        <v>0.13541666666424135</v>
      </c>
      <c r="K631" t="s">
        <v>200</v>
      </c>
      <c r="M631">
        <v>0</v>
      </c>
      <c r="N631" s="6">
        <v>6.2500000000000001E-4</v>
      </c>
      <c r="O631" t="s">
        <v>102</v>
      </c>
      <c r="P631" t="s">
        <v>89</v>
      </c>
      <c r="Q631" s="2" t="s">
        <v>112</v>
      </c>
    </row>
    <row r="632" spans="1:17" ht="68" x14ac:dyDescent="0.2">
      <c r="A632" t="s">
        <v>189</v>
      </c>
      <c r="B632" t="s">
        <v>90</v>
      </c>
      <c r="C632" t="s">
        <v>91</v>
      </c>
      <c r="D632" s="3">
        <v>44363</v>
      </c>
      <c r="E632" s="1">
        <v>44363.626840277779</v>
      </c>
      <c r="F632" t="s">
        <v>17</v>
      </c>
      <c r="G632" t="s">
        <v>79</v>
      </c>
      <c r="H632" s="1">
        <v>44363.53125</v>
      </c>
      <c r="I632" s="1">
        <v>44363.666666666664</v>
      </c>
      <c r="J632" s="4">
        <f t="shared" si="9"/>
        <v>0.13541666666424135</v>
      </c>
      <c r="K632" t="s">
        <v>200</v>
      </c>
      <c r="M632">
        <v>0</v>
      </c>
      <c r="N632" s="6">
        <v>9.2592592592592588E-5</v>
      </c>
      <c r="O632" t="s">
        <v>103</v>
      </c>
      <c r="P632" t="s">
        <v>89</v>
      </c>
      <c r="Q632" s="2" t="s">
        <v>113</v>
      </c>
    </row>
    <row r="633" spans="1:17" ht="68" x14ac:dyDescent="0.2">
      <c r="A633" t="s">
        <v>189</v>
      </c>
      <c r="B633" t="s">
        <v>90</v>
      </c>
      <c r="C633" t="s">
        <v>91</v>
      </c>
      <c r="D633" s="3">
        <v>44363</v>
      </c>
      <c r="E633" s="1">
        <v>44363.664409722223</v>
      </c>
      <c r="F633" t="s">
        <v>17</v>
      </c>
      <c r="G633" t="s">
        <v>79</v>
      </c>
      <c r="H633" s="1">
        <v>44363.53125</v>
      </c>
      <c r="I633" s="1">
        <v>44363.666666666664</v>
      </c>
      <c r="J633" s="4">
        <f t="shared" si="9"/>
        <v>0.13541666666424135</v>
      </c>
      <c r="K633" t="s">
        <v>200</v>
      </c>
      <c r="M633">
        <v>0</v>
      </c>
      <c r="N633" s="6">
        <v>0</v>
      </c>
      <c r="Q633" s="2" t="s">
        <v>19</v>
      </c>
    </row>
    <row r="634" spans="1:17" ht="68" x14ac:dyDescent="0.2">
      <c r="A634" t="s">
        <v>189</v>
      </c>
      <c r="B634" t="s">
        <v>90</v>
      </c>
      <c r="C634" t="s">
        <v>91</v>
      </c>
      <c r="D634" s="3">
        <v>44364</v>
      </c>
      <c r="E634" s="1">
        <v>44364.491736111115</v>
      </c>
      <c r="F634" t="s">
        <v>17</v>
      </c>
      <c r="G634" t="s">
        <v>77</v>
      </c>
      <c r="H634" s="1">
        <v>44364.333333333336</v>
      </c>
      <c r="I634" s="1">
        <v>44364.479166666664</v>
      </c>
      <c r="J634" s="4">
        <f t="shared" si="9"/>
        <v>0.14583333332848269</v>
      </c>
      <c r="K634" t="s">
        <v>217</v>
      </c>
      <c r="M634">
        <v>0</v>
      </c>
      <c r="N634" s="6">
        <v>0</v>
      </c>
      <c r="Q634" s="2" t="s">
        <v>19</v>
      </c>
    </row>
    <row r="635" spans="1:17" ht="68" x14ac:dyDescent="0.2">
      <c r="A635" t="s">
        <v>189</v>
      </c>
      <c r="B635" t="s">
        <v>90</v>
      </c>
      <c r="C635" t="s">
        <v>91</v>
      </c>
      <c r="D635" s="3">
        <v>44365</v>
      </c>
      <c r="E635" s="1">
        <v>44365.490405092591</v>
      </c>
      <c r="F635" t="s">
        <v>17</v>
      </c>
      <c r="G635" t="s">
        <v>64</v>
      </c>
      <c r="H635" s="1">
        <v>44365.375</v>
      </c>
      <c r="I635" s="1">
        <v>44365.489583333336</v>
      </c>
      <c r="J635" s="4">
        <f t="shared" si="9"/>
        <v>0.11458333333575865</v>
      </c>
      <c r="K635" t="s">
        <v>218</v>
      </c>
      <c r="M635">
        <v>0</v>
      </c>
      <c r="N635" s="6">
        <v>0</v>
      </c>
      <c r="Q635" s="2" t="s">
        <v>19</v>
      </c>
    </row>
    <row r="636" spans="1:17" ht="68" x14ac:dyDescent="0.2">
      <c r="A636" t="s">
        <v>189</v>
      </c>
      <c r="B636" t="s">
        <v>90</v>
      </c>
      <c r="C636" t="s">
        <v>91</v>
      </c>
      <c r="D636" s="3">
        <v>44365</v>
      </c>
      <c r="E636" s="1">
        <v>44365.658518518518</v>
      </c>
      <c r="F636" t="s">
        <v>17</v>
      </c>
      <c r="G636" t="s">
        <v>83</v>
      </c>
      <c r="H636" s="1">
        <v>44365.53125</v>
      </c>
      <c r="I636" s="1">
        <v>44365.666666666664</v>
      </c>
      <c r="J636" s="4">
        <f t="shared" si="9"/>
        <v>0.13541666666424135</v>
      </c>
      <c r="K636" t="s">
        <v>217</v>
      </c>
      <c r="M636">
        <v>0</v>
      </c>
      <c r="N636" s="6">
        <v>0</v>
      </c>
      <c r="Q636" s="2" t="s">
        <v>19</v>
      </c>
    </row>
    <row r="637" spans="1:17" ht="68" x14ac:dyDescent="0.2">
      <c r="A637" t="s">
        <v>189</v>
      </c>
      <c r="B637" t="s">
        <v>90</v>
      </c>
      <c r="C637" t="s">
        <v>91</v>
      </c>
      <c r="D637" s="3">
        <v>44375</v>
      </c>
      <c r="E637" s="1">
        <v>44375.565312500003</v>
      </c>
      <c r="F637" t="s">
        <v>17</v>
      </c>
      <c r="G637" t="s">
        <v>84</v>
      </c>
      <c r="H637" s="1">
        <v>44375.539583333331</v>
      </c>
      <c r="I637" s="1">
        <v>44375.669444444444</v>
      </c>
      <c r="J637" s="4">
        <f t="shared" si="9"/>
        <v>0.12986111111240461</v>
      </c>
      <c r="K637" t="s">
        <v>213</v>
      </c>
      <c r="M637">
        <v>0</v>
      </c>
      <c r="N637" s="6">
        <v>0</v>
      </c>
      <c r="Q637" s="2" t="s">
        <v>19</v>
      </c>
    </row>
    <row r="638" spans="1:17" ht="68" x14ac:dyDescent="0.2">
      <c r="A638" t="s">
        <v>189</v>
      </c>
      <c r="B638" t="s">
        <v>90</v>
      </c>
      <c r="C638" t="s">
        <v>91</v>
      </c>
      <c r="D638" s="3">
        <v>44375</v>
      </c>
      <c r="E638" s="1">
        <v>44375.579131944447</v>
      </c>
      <c r="F638" t="s">
        <v>17</v>
      </c>
      <c r="G638" t="s">
        <v>84</v>
      </c>
      <c r="H638" s="1">
        <v>44375.539583333331</v>
      </c>
      <c r="I638" s="1">
        <v>44375.669444444444</v>
      </c>
      <c r="J638" s="4">
        <f t="shared" si="9"/>
        <v>0.12986111111240461</v>
      </c>
      <c r="K638" t="s">
        <v>213</v>
      </c>
      <c r="M638">
        <v>0</v>
      </c>
      <c r="N638" s="6">
        <v>1.3784722222222224E-2</v>
      </c>
      <c r="O638" t="s">
        <v>103</v>
      </c>
      <c r="P638" t="s">
        <v>89</v>
      </c>
      <c r="Q638" s="2" t="s">
        <v>19</v>
      </c>
    </row>
    <row r="639" spans="1:17" ht="68" x14ac:dyDescent="0.2">
      <c r="A639" t="s">
        <v>189</v>
      </c>
      <c r="B639" t="s">
        <v>90</v>
      </c>
      <c r="C639" t="s">
        <v>91</v>
      </c>
      <c r="D639" s="3">
        <v>44375</v>
      </c>
      <c r="E639" s="1">
        <v>44375.610324074078</v>
      </c>
      <c r="F639" t="s">
        <v>17</v>
      </c>
      <c r="G639" t="s">
        <v>84</v>
      </c>
      <c r="H639" s="1">
        <v>44375.539583333331</v>
      </c>
      <c r="I639" s="1">
        <v>44375.669444444444</v>
      </c>
      <c r="J639" s="4">
        <f t="shared" si="9"/>
        <v>0.12986111111240461</v>
      </c>
      <c r="K639" t="s">
        <v>213</v>
      </c>
      <c r="M639">
        <v>0</v>
      </c>
      <c r="N639" s="5" t="s">
        <v>144</v>
      </c>
      <c r="O639" t="s">
        <v>102</v>
      </c>
      <c r="P639" t="s">
        <v>89</v>
      </c>
      <c r="Q639" s="2" t="s">
        <v>19</v>
      </c>
    </row>
    <row r="640" spans="1:17" ht="68" x14ac:dyDescent="0.2">
      <c r="A640" t="s">
        <v>189</v>
      </c>
      <c r="B640" t="s">
        <v>90</v>
      </c>
      <c r="C640" t="s">
        <v>91</v>
      </c>
      <c r="D640" s="3">
        <v>44375</v>
      </c>
      <c r="E640" s="1">
        <v>44375.669166666667</v>
      </c>
      <c r="F640" t="s">
        <v>17</v>
      </c>
      <c r="G640" t="s">
        <v>84</v>
      </c>
      <c r="H640" s="1">
        <v>44375.539583333331</v>
      </c>
      <c r="I640" s="1">
        <v>44375.669444444444</v>
      </c>
      <c r="J640" s="4">
        <f t="shared" si="9"/>
        <v>0.12986111111240461</v>
      </c>
      <c r="K640" t="s">
        <v>213</v>
      </c>
      <c r="M640">
        <v>0</v>
      </c>
      <c r="N640" s="6">
        <v>1.5810185185185184E-2</v>
      </c>
      <c r="O640" t="s">
        <v>85</v>
      </c>
      <c r="P640" t="s">
        <v>89</v>
      </c>
      <c r="Q640" s="2" t="s">
        <v>19</v>
      </c>
    </row>
    <row r="641" spans="1:17" ht="68" x14ac:dyDescent="0.2">
      <c r="A641" t="s">
        <v>189</v>
      </c>
      <c r="B641" t="s">
        <v>90</v>
      </c>
      <c r="C641" t="s">
        <v>91</v>
      </c>
      <c r="D641" s="3">
        <v>44375</v>
      </c>
      <c r="E641" s="1">
        <v>44375.669444444444</v>
      </c>
      <c r="F641" t="s">
        <v>17</v>
      </c>
      <c r="G641" t="s">
        <v>84</v>
      </c>
      <c r="H641" s="1">
        <v>44375.539583333331</v>
      </c>
      <c r="I641" s="1">
        <v>44375.669444444444</v>
      </c>
      <c r="J641" s="4">
        <f t="shared" si="9"/>
        <v>0.12986111111240461</v>
      </c>
      <c r="K641" t="s">
        <v>213</v>
      </c>
      <c r="M641">
        <v>0</v>
      </c>
      <c r="N641" s="6">
        <v>0</v>
      </c>
      <c r="Q641" s="2" t="s">
        <v>19</v>
      </c>
    </row>
    <row r="642" spans="1:17" ht="68" x14ac:dyDescent="0.2">
      <c r="A642" t="s">
        <v>189</v>
      </c>
      <c r="B642" t="s">
        <v>114</v>
      </c>
      <c r="C642" t="s">
        <v>16</v>
      </c>
      <c r="D642" s="3">
        <v>44207</v>
      </c>
      <c r="E642" s="1">
        <v>44207.465787037036</v>
      </c>
      <c r="F642" t="s">
        <v>17</v>
      </c>
      <c r="G642" t="s">
        <v>18</v>
      </c>
      <c r="H642" s="1">
        <v>44207.354166666664</v>
      </c>
      <c r="I642" s="1">
        <v>44207.479166666664</v>
      </c>
      <c r="J642" s="4">
        <f t="shared" si="9"/>
        <v>0.125</v>
      </c>
      <c r="K642" t="s">
        <v>190</v>
      </c>
      <c r="M642">
        <v>0</v>
      </c>
      <c r="N642" s="5" t="s">
        <v>144</v>
      </c>
      <c r="Q642" s="2" t="s">
        <v>19</v>
      </c>
    </row>
    <row r="643" spans="1:17" ht="68" x14ac:dyDescent="0.2">
      <c r="A643" t="s">
        <v>189</v>
      </c>
      <c r="B643" t="s">
        <v>114</v>
      </c>
      <c r="C643" t="s">
        <v>16</v>
      </c>
      <c r="D643" s="3">
        <v>44236</v>
      </c>
      <c r="E643" s="1">
        <v>44236.474768518521</v>
      </c>
      <c r="F643" t="s">
        <v>17</v>
      </c>
      <c r="G643" t="s">
        <v>20</v>
      </c>
      <c r="H643" s="1">
        <v>44236.354166666664</v>
      </c>
      <c r="I643" s="1">
        <v>44236.479166666664</v>
      </c>
      <c r="J643" s="4">
        <f t="shared" ref="J643:J706" si="10">IF($I643="","",$I643-$H643)</f>
        <v>0.125</v>
      </c>
      <c r="K643" t="s">
        <v>191</v>
      </c>
      <c r="M643">
        <v>0</v>
      </c>
      <c r="N643" s="6">
        <v>0</v>
      </c>
      <c r="Q643" s="2" t="s">
        <v>19</v>
      </c>
    </row>
    <row r="644" spans="1:17" ht="68" x14ac:dyDescent="0.2">
      <c r="A644" t="s">
        <v>189</v>
      </c>
      <c r="B644" t="s">
        <v>114</v>
      </c>
      <c r="C644" t="s">
        <v>16</v>
      </c>
      <c r="D644" s="3">
        <v>44236</v>
      </c>
      <c r="E644" s="1">
        <v>44236.686689814815</v>
      </c>
      <c r="F644" t="s">
        <v>17</v>
      </c>
      <c r="G644" t="s">
        <v>21</v>
      </c>
      <c r="H644" s="1">
        <v>44236.5625</v>
      </c>
      <c r="I644" s="1">
        <v>44236.6875</v>
      </c>
      <c r="J644" s="4">
        <f t="shared" si="10"/>
        <v>0.125</v>
      </c>
      <c r="K644" t="s">
        <v>192</v>
      </c>
      <c r="M644">
        <v>0</v>
      </c>
      <c r="N644" s="6">
        <v>0</v>
      </c>
      <c r="Q644" s="2" t="s">
        <v>19</v>
      </c>
    </row>
    <row r="645" spans="1:17" ht="68" x14ac:dyDescent="0.2">
      <c r="A645" t="s">
        <v>189</v>
      </c>
      <c r="B645" t="s">
        <v>114</v>
      </c>
      <c r="C645" t="s">
        <v>16</v>
      </c>
      <c r="D645" s="3">
        <v>44237</v>
      </c>
      <c r="E645" s="1">
        <v>44237.442928240744</v>
      </c>
      <c r="F645" t="s">
        <v>17</v>
      </c>
      <c r="G645" t="s">
        <v>20</v>
      </c>
      <c r="H645" s="1">
        <v>44237.354166666664</v>
      </c>
      <c r="I645" s="1">
        <v>44237.479166666664</v>
      </c>
      <c r="J645" s="4">
        <f t="shared" si="10"/>
        <v>0.125</v>
      </c>
      <c r="K645" t="s">
        <v>190</v>
      </c>
      <c r="M645">
        <v>0</v>
      </c>
      <c r="N645" s="5" t="s">
        <v>144</v>
      </c>
      <c r="Q645" s="2" t="s">
        <v>19</v>
      </c>
    </row>
    <row r="646" spans="1:17" ht="68" x14ac:dyDescent="0.2">
      <c r="A646" t="s">
        <v>189</v>
      </c>
      <c r="B646" t="s">
        <v>114</v>
      </c>
      <c r="C646" t="s">
        <v>16</v>
      </c>
      <c r="D646" s="3">
        <v>44238</v>
      </c>
      <c r="E646" s="1">
        <v>44238.474224537036</v>
      </c>
      <c r="F646" t="s">
        <v>17</v>
      </c>
      <c r="G646" t="s">
        <v>22</v>
      </c>
      <c r="H646" s="1">
        <v>44238.354166666664</v>
      </c>
      <c r="I646" s="1">
        <v>44238.479166666664</v>
      </c>
      <c r="J646" s="4">
        <f t="shared" si="10"/>
        <v>0.125</v>
      </c>
      <c r="K646" t="s">
        <v>191</v>
      </c>
      <c r="M646">
        <v>0</v>
      </c>
      <c r="N646" s="6">
        <v>0</v>
      </c>
      <c r="Q646" s="2" t="s">
        <v>19</v>
      </c>
    </row>
    <row r="647" spans="1:17" ht="68" x14ac:dyDescent="0.2">
      <c r="A647" t="s">
        <v>189</v>
      </c>
      <c r="B647" t="s">
        <v>114</v>
      </c>
      <c r="C647" t="s">
        <v>16</v>
      </c>
      <c r="D647" s="3">
        <v>44238</v>
      </c>
      <c r="E647" s="1">
        <v>44238.638611111113</v>
      </c>
      <c r="F647" t="s">
        <v>17</v>
      </c>
      <c r="G647" t="s">
        <v>23</v>
      </c>
      <c r="H647" s="1">
        <v>44238.5625</v>
      </c>
      <c r="I647" s="1">
        <v>44238.6875</v>
      </c>
      <c r="J647" s="4">
        <f t="shared" si="10"/>
        <v>0.125</v>
      </c>
      <c r="K647" t="s">
        <v>192</v>
      </c>
      <c r="M647">
        <v>1</v>
      </c>
      <c r="N647" s="6">
        <v>0</v>
      </c>
      <c r="Q647" s="2" t="s">
        <v>19</v>
      </c>
    </row>
    <row r="648" spans="1:17" ht="68" x14ac:dyDescent="0.2">
      <c r="A648" t="s">
        <v>189</v>
      </c>
      <c r="B648" t="s">
        <v>114</v>
      </c>
      <c r="C648" t="s">
        <v>16</v>
      </c>
      <c r="D648" s="3">
        <v>44239</v>
      </c>
      <c r="E648" s="1">
        <v>44239.470613425925</v>
      </c>
      <c r="F648" t="s">
        <v>17</v>
      </c>
      <c r="G648" t="s">
        <v>24</v>
      </c>
      <c r="H648" s="1">
        <v>44239.354166666664</v>
      </c>
      <c r="I648" s="1">
        <v>44239.479166666664</v>
      </c>
      <c r="J648" s="4">
        <f t="shared" si="10"/>
        <v>0.125</v>
      </c>
      <c r="K648" t="s">
        <v>190</v>
      </c>
      <c r="M648">
        <v>2</v>
      </c>
      <c r="N648" s="6">
        <v>0</v>
      </c>
      <c r="Q648" s="2" t="s">
        <v>19</v>
      </c>
    </row>
    <row r="649" spans="1:17" ht="68" x14ac:dyDescent="0.2">
      <c r="A649" t="s">
        <v>189</v>
      </c>
      <c r="B649" t="s">
        <v>114</v>
      </c>
      <c r="C649" t="s">
        <v>16</v>
      </c>
      <c r="D649" s="3">
        <v>44242</v>
      </c>
      <c r="E649" s="1">
        <v>44242.473541666666</v>
      </c>
      <c r="F649" t="s">
        <v>17</v>
      </c>
      <c r="G649" t="s">
        <v>20</v>
      </c>
      <c r="H649" s="1">
        <v>44242.354166666664</v>
      </c>
      <c r="I649" s="1">
        <v>44242.479166666664</v>
      </c>
      <c r="J649" s="4">
        <f t="shared" si="10"/>
        <v>0.125</v>
      </c>
      <c r="K649" t="s">
        <v>190</v>
      </c>
      <c r="M649">
        <v>0</v>
      </c>
      <c r="N649" s="5" t="s">
        <v>144</v>
      </c>
      <c r="Q649" s="2" t="s">
        <v>19</v>
      </c>
    </row>
    <row r="650" spans="1:17" ht="68" x14ac:dyDescent="0.2">
      <c r="A650" t="s">
        <v>189</v>
      </c>
      <c r="B650" t="s">
        <v>114</v>
      </c>
      <c r="C650" t="s">
        <v>16</v>
      </c>
      <c r="D650" s="3">
        <v>44243</v>
      </c>
      <c r="E650" s="1">
        <v>44243.535127314812</v>
      </c>
      <c r="F650" t="s">
        <v>17</v>
      </c>
      <c r="G650" t="s">
        <v>20</v>
      </c>
      <c r="H650" s="1">
        <v>44243.354166666664</v>
      </c>
      <c r="I650" s="1">
        <v>44243.479166666664</v>
      </c>
      <c r="J650" s="4">
        <f t="shared" si="10"/>
        <v>0.125</v>
      </c>
      <c r="K650" t="s">
        <v>191</v>
      </c>
      <c r="M650">
        <v>0</v>
      </c>
      <c r="N650" s="6">
        <v>0</v>
      </c>
      <c r="Q650" s="2" t="s">
        <v>19</v>
      </c>
    </row>
    <row r="651" spans="1:17" ht="68" x14ac:dyDescent="0.2">
      <c r="A651" t="s">
        <v>189</v>
      </c>
      <c r="B651" t="s">
        <v>114</v>
      </c>
      <c r="C651" t="s">
        <v>16</v>
      </c>
      <c r="D651" s="3">
        <v>44243</v>
      </c>
      <c r="E651" s="1">
        <v>44243.61451388889</v>
      </c>
      <c r="F651" t="s">
        <v>17</v>
      </c>
      <c r="G651" t="s">
        <v>25</v>
      </c>
      <c r="H651" s="1">
        <v>44243.5625</v>
      </c>
      <c r="I651" s="1">
        <v>44243.6875</v>
      </c>
      <c r="J651" s="4">
        <f t="shared" si="10"/>
        <v>0.125</v>
      </c>
      <c r="K651" t="s">
        <v>192</v>
      </c>
      <c r="M651">
        <v>2</v>
      </c>
      <c r="N651" s="6">
        <v>0</v>
      </c>
      <c r="Q651" s="2" t="s">
        <v>19</v>
      </c>
    </row>
    <row r="652" spans="1:17" ht="68" x14ac:dyDescent="0.2">
      <c r="A652" t="s">
        <v>189</v>
      </c>
      <c r="B652" t="s">
        <v>114</v>
      </c>
      <c r="C652" t="s">
        <v>16</v>
      </c>
      <c r="D652" s="3">
        <v>44244</v>
      </c>
      <c r="E652" s="1">
        <v>44244.472002314818</v>
      </c>
      <c r="F652" t="s">
        <v>17</v>
      </c>
      <c r="G652" t="s">
        <v>26</v>
      </c>
      <c r="H652" s="1">
        <v>44244.354166666664</v>
      </c>
      <c r="I652" s="1">
        <v>44244.479166666664</v>
      </c>
      <c r="J652" s="4">
        <f t="shared" si="10"/>
        <v>0.125</v>
      </c>
      <c r="K652" t="s">
        <v>190</v>
      </c>
      <c r="M652">
        <v>1</v>
      </c>
      <c r="N652" s="6">
        <v>0</v>
      </c>
      <c r="Q652" s="2" t="s">
        <v>19</v>
      </c>
    </row>
    <row r="653" spans="1:17" ht="68" x14ac:dyDescent="0.2">
      <c r="A653" t="s">
        <v>189</v>
      </c>
      <c r="B653" t="s">
        <v>114</v>
      </c>
      <c r="C653" t="s">
        <v>16</v>
      </c>
      <c r="D653" s="3">
        <v>44245</v>
      </c>
      <c r="E653" s="1">
        <v>44245.470613425925</v>
      </c>
      <c r="F653" t="s">
        <v>17</v>
      </c>
      <c r="G653" t="s">
        <v>27</v>
      </c>
      <c r="H653" s="1">
        <v>44245.354166666664</v>
      </c>
      <c r="I653" s="1">
        <v>44245.479166666664</v>
      </c>
      <c r="J653" s="4">
        <f t="shared" si="10"/>
        <v>0.125</v>
      </c>
      <c r="K653" t="s">
        <v>191</v>
      </c>
      <c r="M653">
        <v>0</v>
      </c>
      <c r="N653" s="6">
        <v>0</v>
      </c>
      <c r="Q653" s="2" t="s">
        <v>19</v>
      </c>
    </row>
    <row r="654" spans="1:17" ht="68" x14ac:dyDescent="0.2">
      <c r="A654" t="s">
        <v>189</v>
      </c>
      <c r="B654" t="s">
        <v>114</v>
      </c>
      <c r="C654" t="s">
        <v>16</v>
      </c>
      <c r="D654" s="3">
        <v>44245</v>
      </c>
      <c r="E654" s="1">
        <v>44245.63244212963</v>
      </c>
      <c r="F654" t="s">
        <v>17</v>
      </c>
      <c r="G654" t="s">
        <v>28</v>
      </c>
      <c r="H654" s="1">
        <v>44245.5625</v>
      </c>
      <c r="I654" s="1">
        <v>44245.635416666664</v>
      </c>
      <c r="J654" s="4">
        <f t="shared" si="10"/>
        <v>7.2916666664241347E-2</v>
      </c>
      <c r="K654" t="s">
        <v>192</v>
      </c>
      <c r="M654">
        <v>0</v>
      </c>
      <c r="N654" s="6">
        <v>0</v>
      </c>
      <c r="Q654" s="2" t="s">
        <v>19</v>
      </c>
    </row>
    <row r="655" spans="1:17" ht="68" x14ac:dyDescent="0.2">
      <c r="A655" t="s">
        <v>189</v>
      </c>
      <c r="B655" t="s">
        <v>114</v>
      </c>
      <c r="C655" t="s">
        <v>16</v>
      </c>
      <c r="D655" s="3">
        <v>44246</v>
      </c>
      <c r="E655" s="1">
        <v>44246.472673611112</v>
      </c>
      <c r="F655" t="s">
        <v>17</v>
      </c>
      <c r="G655" t="s">
        <v>24</v>
      </c>
      <c r="H655" s="1">
        <v>44246.354166666664</v>
      </c>
      <c r="I655" s="1">
        <v>44246.479166666664</v>
      </c>
      <c r="J655" s="4">
        <f t="shared" si="10"/>
        <v>0.125</v>
      </c>
      <c r="K655" t="s">
        <v>190</v>
      </c>
      <c r="M655">
        <v>0</v>
      </c>
      <c r="N655" s="5" t="s">
        <v>144</v>
      </c>
      <c r="Q655" s="2" t="s">
        <v>19</v>
      </c>
    </row>
    <row r="656" spans="1:17" ht="68" x14ac:dyDescent="0.2">
      <c r="A656" t="s">
        <v>189</v>
      </c>
      <c r="B656" t="s">
        <v>114</v>
      </c>
      <c r="C656" t="s">
        <v>16</v>
      </c>
      <c r="D656" s="3">
        <v>44249</v>
      </c>
      <c r="E656" s="1">
        <v>44249.477337962962</v>
      </c>
      <c r="F656" t="s">
        <v>17</v>
      </c>
      <c r="G656" t="s">
        <v>29</v>
      </c>
      <c r="H656" s="1">
        <v>44249.354166666664</v>
      </c>
      <c r="I656" s="1">
        <v>44249.479166666664</v>
      </c>
      <c r="J656" s="4">
        <f t="shared" si="10"/>
        <v>0.125</v>
      </c>
      <c r="K656" t="s">
        <v>190</v>
      </c>
      <c r="M656">
        <v>1</v>
      </c>
      <c r="N656" s="6">
        <v>0</v>
      </c>
      <c r="Q656" s="2" t="s">
        <v>19</v>
      </c>
    </row>
    <row r="657" spans="1:17" ht="68" x14ac:dyDescent="0.2">
      <c r="A657" t="s">
        <v>189</v>
      </c>
      <c r="B657" t="s">
        <v>114</v>
      </c>
      <c r="C657" t="s">
        <v>16</v>
      </c>
      <c r="D657" s="3">
        <v>44250</v>
      </c>
      <c r="E657" s="1">
        <v>44250.468738425923</v>
      </c>
      <c r="F657" t="s">
        <v>17</v>
      </c>
      <c r="G657" t="s">
        <v>20</v>
      </c>
      <c r="H657" s="1">
        <v>44250.354166666664</v>
      </c>
      <c r="I657" s="1">
        <v>44250.479166666664</v>
      </c>
      <c r="J657" s="4">
        <f t="shared" si="10"/>
        <v>0.125</v>
      </c>
      <c r="K657" t="s">
        <v>191</v>
      </c>
      <c r="M657">
        <v>4</v>
      </c>
      <c r="N657" s="6">
        <v>0</v>
      </c>
      <c r="Q657" s="2" t="s">
        <v>19</v>
      </c>
    </row>
    <row r="658" spans="1:17" ht="68" x14ac:dyDescent="0.2">
      <c r="A658" t="s">
        <v>189</v>
      </c>
      <c r="B658" t="s">
        <v>114</v>
      </c>
      <c r="C658" t="s">
        <v>16</v>
      </c>
      <c r="D658" s="3">
        <v>44250</v>
      </c>
      <c r="E658" s="1">
        <v>44250.595358796294</v>
      </c>
      <c r="F658" t="s">
        <v>17</v>
      </c>
      <c r="G658" t="s">
        <v>30</v>
      </c>
      <c r="H658" s="1">
        <v>44250.5625</v>
      </c>
      <c r="I658" s="1">
        <v>44250.6875</v>
      </c>
      <c r="J658" s="4">
        <f t="shared" si="10"/>
        <v>0.125</v>
      </c>
      <c r="K658" t="s">
        <v>192</v>
      </c>
      <c r="M658">
        <v>2</v>
      </c>
      <c r="N658" s="6">
        <v>0</v>
      </c>
      <c r="Q658" s="2" t="s">
        <v>19</v>
      </c>
    </row>
    <row r="659" spans="1:17" ht="68" x14ac:dyDescent="0.2">
      <c r="A659" t="s">
        <v>189</v>
      </c>
      <c r="B659" t="s">
        <v>114</v>
      </c>
      <c r="C659" t="s">
        <v>16</v>
      </c>
      <c r="D659" s="3">
        <v>44251</v>
      </c>
      <c r="E659" s="1">
        <v>44251.473645833335</v>
      </c>
      <c r="F659" t="s">
        <v>17</v>
      </c>
      <c r="G659" t="s">
        <v>31</v>
      </c>
      <c r="H659" s="1">
        <v>44251.354166666664</v>
      </c>
      <c r="I659" s="1">
        <v>44251.479166666664</v>
      </c>
      <c r="J659" s="4">
        <f t="shared" si="10"/>
        <v>0.125</v>
      </c>
      <c r="K659" t="s">
        <v>190</v>
      </c>
      <c r="M659">
        <v>2</v>
      </c>
      <c r="N659" s="6">
        <v>0</v>
      </c>
      <c r="Q659" s="2" t="s">
        <v>19</v>
      </c>
    </row>
    <row r="660" spans="1:17" ht="68" x14ac:dyDescent="0.2">
      <c r="A660" t="s">
        <v>189</v>
      </c>
      <c r="B660" t="s">
        <v>114</v>
      </c>
      <c r="C660" t="s">
        <v>16</v>
      </c>
      <c r="D660" s="3">
        <v>44252</v>
      </c>
      <c r="E660" s="1">
        <v>44252.471956018519</v>
      </c>
      <c r="F660" t="s">
        <v>17</v>
      </c>
      <c r="G660" t="s">
        <v>27</v>
      </c>
      <c r="H660" s="1">
        <v>44252.354166666664</v>
      </c>
      <c r="I660" s="1">
        <v>44252.479166666664</v>
      </c>
      <c r="J660" s="4">
        <f t="shared" si="10"/>
        <v>0.125</v>
      </c>
      <c r="K660" t="s">
        <v>191</v>
      </c>
      <c r="M660">
        <v>0</v>
      </c>
      <c r="N660" s="6">
        <v>0</v>
      </c>
      <c r="Q660" s="2" t="s">
        <v>19</v>
      </c>
    </row>
    <row r="661" spans="1:17" ht="68" x14ac:dyDescent="0.2">
      <c r="A661" t="s">
        <v>189</v>
      </c>
      <c r="B661" t="s">
        <v>114</v>
      </c>
      <c r="C661" t="s">
        <v>16</v>
      </c>
      <c r="D661" s="3">
        <v>44252</v>
      </c>
      <c r="E661" s="1">
        <v>44252.635046296295</v>
      </c>
      <c r="F661" t="s">
        <v>17</v>
      </c>
      <c r="G661" t="s">
        <v>23</v>
      </c>
      <c r="H661" s="1">
        <v>44252.5625</v>
      </c>
      <c r="I661" s="1">
        <v>44252.6875</v>
      </c>
      <c r="J661" s="4">
        <f t="shared" si="10"/>
        <v>0.125</v>
      </c>
      <c r="K661" t="s">
        <v>192</v>
      </c>
      <c r="M661">
        <v>1</v>
      </c>
      <c r="N661" s="6">
        <v>0</v>
      </c>
      <c r="Q661" s="2" t="s">
        <v>19</v>
      </c>
    </row>
    <row r="662" spans="1:17" ht="68" x14ac:dyDescent="0.2">
      <c r="A662" t="s">
        <v>189</v>
      </c>
      <c r="B662" t="s">
        <v>114</v>
      </c>
      <c r="C662" t="s">
        <v>16</v>
      </c>
      <c r="D662" s="3">
        <v>44253</v>
      </c>
      <c r="E662" s="1">
        <v>44253.473414351851</v>
      </c>
      <c r="F662" t="s">
        <v>17</v>
      </c>
      <c r="G662" t="s">
        <v>24</v>
      </c>
      <c r="H662" s="1">
        <v>44253.354166666664</v>
      </c>
      <c r="I662" s="1">
        <v>44253.479166666664</v>
      </c>
      <c r="J662" s="4">
        <f t="shared" si="10"/>
        <v>0.125</v>
      </c>
      <c r="K662" t="s">
        <v>190</v>
      </c>
      <c r="M662">
        <v>0</v>
      </c>
      <c r="N662" s="5" t="s">
        <v>144</v>
      </c>
      <c r="Q662" s="2" t="s">
        <v>19</v>
      </c>
    </row>
    <row r="663" spans="1:17" ht="68" x14ac:dyDescent="0.2">
      <c r="A663" t="s">
        <v>189</v>
      </c>
      <c r="B663" t="s">
        <v>114</v>
      </c>
      <c r="C663" t="s">
        <v>16</v>
      </c>
      <c r="D663" s="3">
        <v>44256</v>
      </c>
      <c r="E663" s="1">
        <v>44256.369664351849</v>
      </c>
      <c r="F663" t="s">
        <v>17</v>
      </c>
      <c r="G663" t="s">
        <v>26</v>
      </c>
      <c r="H663" s="1">
        <v>44256.354166666664</v>
      </c>
      <c r="I663" s="1">
        <v>44256.479166666664</v>
      </c>
      <c r="J663" s="4">
        <f t="shared" si="10"/>
        <v>0.125</v>
      </c>
      <c r="K663" t="s">
        <v>190</v>
      </c>
      <c r="M663">
        <v>1</v>
      </c>
      <c r="N663" s="6">
        <v>0</v>
      </c>
      <c r="Q663" s="2" t="s">
        <v>19</v>
      </c>
    </row>
    <row r="664" spans="1:17" ht="68" x14ac:dyDescent="0.2">
      <c r="A664" t="s">
        <v>189</v>
      </c>
      <c r="B664" t="s">
        <v>114</v>
      </c>
      <c r="C664" t="s">
        <v>16</v>
      </c>
      <c r="D664" s="3">
        <v>44257</v>
      </c>
      <c r="E664" s="1">
        <v>44257.470011574071</v>
      </c>
      <c r="F664" t="s">
        <v>17</v>
      </c>
      <c r="G664" t="s">
        <v>32</v>
      </c>
      <c r="H664" s="1">
        <v>44257.354166666664</v>
      </c>
      <c r="I664" s="1">
        <v>44257.479166666664</v>
      </c>
      <c r="J664" s="4">
        <f t="shared" si="10"/>
        <v>0.125</v>
      </c>
      <c r="K664" t="s">
        <v>191</v>
      </c>
      <c r="M664">
        <v>0</v>
      </c>
      <c r="N664" s="6">
        <v>0</v>
      </c>
      <c r="Q664" s="2" t="s">
        <v>19</v>
      </c>
    </row>
    <row r="665" spans="1:17" ht="68" x14ac:dyDescent="0.2">
      <c r="A665" t="s">
        <v>189</v>
      </c>
      <c r="B665" t="s">
        <v>114</v>
      </c>
      <c r="C665" t="s">
        <v>16</v>
      </c>
      <c r="D665" s="3">
        <v>44257</v>
      </c>
      <c r="E665" s="1">
        <v>44257.682766203703</v>
      </c>
      <c r="F665" t="s">
        <v>17</v>
      </c>
      <c r="G665" t="s">
        <v>33</v>
      </c>
      <c r="H665" s="1">
        <v>44257.5625</v>
      </c>
      <c r="I665" s="1">
        <v>44257.6875</v>
      </c>
      <c r="J665" s="4">
        <f t="shared" si="10"/>
        <v>0.125</v>
      </c>
      <c r="K665" t="s">
        <v>192</v>
      </c>
      <c r="M665">
        <v>0</v>
      </c>
      <c r="N665" s="6">
        <v>0</v>
      </c>
      <c r="Q665" s="2" t="s">
        <v>19</v>
      </c>
    </row>
    <row r="666" spans="1:17" ht="68" x14ac:dyDescent="0.2">
      <c r="A666" t="s">
        <v>189</v>
      </c>
      <c r="B666" t="s">
        <v>114</v>
      </c>
      <c r="C666" t="s">
        <v>16</v>
      </c>
      <c r="D666" s="3">
        <v>44258</v>
      </c>
      <c r="E666" s="1">
        <v>44258.473310185182</v>
      </c>
      <c r="F666" t="s">
        <v>17</v>
      </c>
      <c r="G666" t="s">
        <v>31</v>
      </c>
      <c r="H666" s="1">
        <v>44258.354166666664</v>
      </c>
      <c r="I666" s="1">
        <v>44258.458333333336</v>
      </c>
      <c r="J666" s="4">
        <f t="shared" si="10"/>
        <v>0.10416666667151731</v>
      </c>
      <c r="K666" t="s">
        <v>190</v>
      </c>
      <c r="M666">
        <v>0</v>
      </c>
      <c r="N666" s="5" t="s">
        <v>144</v>
      </c>
      <c r="Q666" s="2" t="s">
        <v>19</v>
      </c>
    </row>
    <row r="667" spans="1:17" ht="68" x14ac:dyDescent="0.2">
      <c r="A667" t="s">
        <v>189</v>
      </c>
      <c r="B667" t="s">
        <v>114</v>
      </c>
      <c r="C667" t="s">
        <v>16</v>
      </c>
      <c r="D667" s="3">
        <v>44258</v>
      </c>
      <c r="E667" s="1">
        <v>44258.473321759258</v>
      </c>
      <c r="F667" t="s">
        <v>17</v>
      </c>
      <c r="G667" t="s">
        <v>31</v>
      </c>
      <c r="H667" s="1">
        <v>44258.354166666664</v>
      </c>
      <c r="I667" s="1">
        <v>44258.458333333336</v>
      </c>
      <c r="J667" s="4">
        <f t="shared" si="10"/>
        <v>0.10416666667151731</v>
      </c>
      <c r="K667" t="s">
        <v>190</v>
      </c>
      <c r="M667">
        <v>0</v>
      </c>
      <c r="N667" s="5" t="s">
        <v>144</v>
      </c>
      <c r="Q667" s="2" t="s">
        <v>19</v>
      </c>
    </row>
    <row r="668" spans="1:17" ht="68" x14ac:dyDescent="0.2">
      <c r="A668" t="s">
        <v>189</v>
      </c>
      <c r="B668" t="s">
        <v>114</v>
      </c>
      <c r="C668" t="s">
        <v>16</v>
      </c>
      <c r="D668" s="3">
        <v>44259</v>
      </c>
      <c r="E668" s="1">
        <v>44259.473310185182</v>
      </c>
      <c r="F668" t="s">
        <v>17</v>
      </c>
      <c r="G668" t="s">
        <v>24</v>
      </c>
      <c r="H668" s="1">
        <v>44259.354166666664</v>
      </c>
      <c r="I668" s="1">
        <v>44259.479166666664</v>
      </c>
      <c r="J668" s="4">
        <f t="shared" si="10"/>
        <v>0.125</v>
      </c>
      <c r="K668" t="s">
        <v>191</v>
      </c>
      <c r="M668">
        <v>0</v>
      </c>
      <c r="N668" s="6">
        <v>0</v>
      </c>
      <c r="Q668" s="2" t="s">
        <v>19</v>
      </c>
    </row>
    <row r="669" spans="1:17" ht="68" x14ac:dyDescent="0.2">
      <c r="A669" t="s">
        <v>189</v>
      </c>
      <c r="B669" t="s">
        <v>114</v>
      </c>
      <c r="C669" t="s">
        <v>16</v>
      </c>
      <c r="D669" s="3">
        <v>44259</v>
      </c>
      <c r="E669" s="1">
        <v>44259.628078703703</v>
      </c>
      <c r="F669" t="s">
        <v>17</v>
      </c>
      <c r="G669" t="s">
        <v>25</v>
      </c>
      <c r="H669" s="1">
        <v>44259.5625</v>
      </c>
      <c r="I669" s="1">
        <v>44259.625</v>
      </c>
      <c r="J669" s="4">
        <f t="shared" si="10"/>
        <v>6.25E-2</v>
      </c>
      <c r="K669" t="s">
        <v>192</v>
      </c>
      <c r="M669">
        <v>0</v>
      </c>
      <c r="N669" s="6">
        <v>0</v>
      </c>
      <c r="Q669" s="2" t="s">
        <v>19</v>
      </c>
    </row>
    <row r="670" spans="1:17" ht="68" x14ac:dyDescent="0.2">
      <c r="A670" t="s">
        <v>189</v>
      </c>
      <c r="B670" t="s">
        <v>114</v>
      </c>
      <c r="C670" t="s">
        <v>16</v>
      </c>
      <c r="D670" s="3">
        <v>44260</v>
      </c>
      <c r="E670" s="1">
        <v>44260.467407407406</v>
      </c>
      <c r="F670" t="s">
        <v>17</v>
      </c>
      <c r="G670" t="s">
        <v>31</v>
      </c>
      <c r="H670" s="1">
        <v>44260.354166666664</v>
      </c>
      <c r="I670" s="1">
        <v>44260.479166666664</v>
      </c>
      <c r="J670" s="4">
        <f t="shared" si="10"/>
        <v>0.125</v>
      </c>
      <c r="K670" t="s">
        <v>190</v>
      </c>
      <c r="M670">
        <v>0</v>
      </c>
      <c r="N670" s="5" t="s">
        <v>144</v>
      </c>
      <c r="Q670" s="2" t="s">
        <v>19</v>
      </c>
    </row>
    <row r="671" spans="1:17" ht="68" x14ac:dyDescent="0.2">
      <c r="A671" t="s">
        <v>189</v>
      </c>
      <c r="B671" t="s">
        <v>114</v>
      </c>
      <c r="C671" t="s">
        <v>16</v>
      </c>
      <c r="D671" s="3">
        <v>44263</v>
      </c>
      <c r="E671" s="1">
        <v>44263.472361111111</v>
      </c>
      <c r="F671" t="s">
        <v>17</v>
      </c>
      <c r="G671" t="s">
        <v>26</v>
      </c>
      <c r="H671" s="1">
        <v>44263.354166666664</v>
      </c>
      <c r="I671" s="1">
        <v>44263.479166666664</v>
      </c>
      <c r="J671" s="4">
        <f t="shared" si="10"/>
        <v>0.125</v>
      </c>
      <c r="K671" t="s">
        <v>190</v>
      </c>
      <c r="M671">
        <v>0</v>
      </c>
      <c r="N671" s="5" t="s">
        <v>144</v>
      </c>
      <c r="Q671" s="2" t="s">
        <v>19</v>
      </c>
    </row>
    <row r="672" spans="1:17" ht="68" x14ac:dyDescent="0.2">
      <c r="A672" t="s">
        <v>189</v>
      </c>
      <c r="B672" t="s">
        <v>114</v>
      </c>
      <c r="C672" t="s">
        <v>16</v>
      </c>
      <c r="D672" s="3">
        <v>44263</v>
      </c>
      <c r="E672" s="1">
        <v>44263.472372685188</v>
      </c>
      <c r="F672" t="s">
        <v>17</v>
      </c>
      <c r="G672" t="s">
        <v>26</v>
      </c>
      <c r="H672" s="1">
        <v>44263.354166666664</v>
      </c>
      <c r="I672" s="1">
        <v>44263.479166666664</v>
      </c>
      <c r="J672" s="4">
        <f t="shared" si="10"/>
        <v>0.125</v>
      </c>
      <c r="K672" t="s">
        <v>190</v>
      </c>
      <c r="M672">
        <v>0</v>
      </c>
      <c r="N672" s="5" t="s">
        <v>144</v>
      </c>
      <c r="Q672" s="2" t="s">
        <v>19</v>
      </c>
    </row>
    <row r="673" spans="1:17" ht="68" x14ac:dyDescent="0.2">
      <c r="A673" t="s">
        <v>189</v>
      </c>
      <c r="B673" t="s">
        <v>114</v>
      </c>
      <c r="C673" t="s">
        <v>16</v>
      </c>
      <c r="D673" s="3">
        <v>44264</v>
      </c>
      <c r="E673" s="1">
        <v>44264.475289351853</v>
      </c>
      <c r="F673" t="s">
        <v>17</v>
      </c>
      <c r="G673" t="s">
        <v>24</v>
      </c>
      <c r="H673" s="1">
        <v>44264.354166666664</v>
      </c>
      <c r="I673" s="1">
        <v>44264.479166666664</v>
      </c>
      <c r="J673" s="4">
        <f t="shared" si="10"/>
        <v>0.125</v>
      </c>
      <c r="K673" t="s">
        <v>191</v>
      </c>
      <c r="M673">
        <v>0</v>
      </c>
      <c r="N673" s="6">
        <v>0</v>
      </c>
      <c r="Q673" s="2" t="s">
        <v>19</v>
      </c>
    </row>
    <row r="674" spans="1:17" ht="68" x14ac:dyDescent="0.2">
      <c r="A674" t="s">
        <v>189</v>
      </c>
      <c r="B674" t="s">
        <v>114</v>
      </c>
      <c r="C674" t="s">
        <v>16</v>
      </c>
      <c r="D674" s="3">
        <v>44264</v>
      </c>
      <c r="E674" s="1">
        <v>44264.687106481484</v>
      </c>
      <c r="F674" t="s">
        <v>17</v>
      </c>
      <c r="G674" t="s">
        <v>34</v>
      </c>
      <c r="H674" s="1">
        <v>44264.5625</v>
      </c>
      <c r="I674" s="1">
        <v>44264.6875</v>
      </c>
      <c r="J674" s="4">
        <f t="shared" si="10"/>
        <v>0.125</v>
      </c>
      <c r="K674" t="s">
        <v>192</v>
      </c>
      <c r="M674">
        <v>0</v>
      </c>
      <c r="N674" s="6">
        <v>0</v>
      </c>
      <c r="Q674" s="2" t="s">
        <v>19</v>
      </c>
    </row>
    <row r="675" spans="1:17" ht="68" x14ac:dyDescent="0.2">
      <c r="A675" t="s">
        <v>189</v>
      </c>
      <c r="B675" t="s">
        <v>114</v>
      </c>
      <c r="C675" t="s">
        <v>16</v>
      </c>
      <c r="D675" s="3">
        <v>44265</v>
      </c>
      <c r="E675" s="1">
        <v>44265.473692129628</v>
      </c>
      <c r="F675" t="s">
        <v>17</v>
      </c>
      <c r="G675" t="s">
        <v>24</v>
      </c>
      <c r="H675" s="1">
        <v>44265.354166666664</v>
      </c>
      <c r="I675" s="1">
        <v>44265.479166666664</v>
      </c>
      <c r="J675" s="4">
        <f t="shared" si="10"/>
        <v>0.125</v>
      </c>
      <c r="K675" t="s">
        <v>190</v>
      </c>
      <c r="M675">
        <v>0</v>
      </c>
      <c r="N675" s="5" t="s">
        <v>144</v>
      </c>
      <c r="Q675" s="2" t="s">
        <v>19</v>
      </c>
    </row>
    <row r="676" spans="1:17" ht="68" x14ac:dyDescent="0.2">
      <c r="A676" t="s">
        <v>189</v>
      </c>
      <c r="B676" t="s">
        <v>114</v>
      </c>
      <c r="C676" t="s">
        <v>16</v>
      </c>
      <c r="D676" s="3">
        <v>44266</v>
      </c>
      <c r="E676" s="1">
        <v>44266.664537037039</v>
      </c>
      <c r="F676" t="s">
        <v>17</v>
      </c>
      <c r="G676" t="s">
        <v>35</v>
      </c>
      <c r="H676" s="1">
        <v>44266.53125</v>
      </c>
      <c r="I676" s="1">
        <v>44266.666666666664</v>
      </c>
      <c r="J676" s="4">
        <f t="shared" si="10"/>
        <v>0.13541666666424135</v>
      </c>
      <c r="K676" t="s">
        <v>192</v>
      </c>
      <c r="M676">
        <v>0</v>
      </c>
      <c r="N676" s="6">
        <v>0</v>
      </c>
      <c r="Q676" s="2" t="s">
        <v>19</v>
      </c>
    </row>
    <row r="677" spans="1:17" ht="68" x14ac:dyDescent="0.2">
      <c r="A677" t="s">
        <v>189</v>
      </c>
      <c r="B677" t="s">
        <v>114</v>
      </c>
      <c r="C677" t="s">
        <v>16</v>
      </c>
      <c r="D677" s="3">
        <v>44270</v>
      </c>
      <c r="E677" s="1">
        <v>44270.472129629627</v>
      </c>
      <c r="F677" t="s">
        <v>17</v>
      </c>
      <c r="G677" t="s">
        <v>24</v>
      </c>
      <c r="H677" s="1">
        <v>44270.354166666664</v>
      </c>
      <c r="I677" s="1">
        <v>44270.479166666664</v>
      </c>
      <c r="J677" s="4">
        <f t="shared" si="10"/>
        <v>0.125</v>
      </c>
      <c r="K677" t="s">
        <v>190</v>
      </c>
      <c r="M677">
        <v>2</v>
      </c>
      <c r="N677" s="6">
        <v>0</v>
      </c>
      <c r="Q677" s="2" t="s">
        <v>19</v>
      </c>
    </row>
    <row r="678" spans="1:17" ht="68" x14ac:dyDescent="0.2">
      <c r="A678" t="s">
        <v>189</v>
      </c>
      <c r="B678" t="s">
        <v>114</v>
      </c>
      <c r="C678" t="s">
        <v>16</v>
      </c>
      <c r="D678" s="3">
        <v>44271</v>
      </c>
      <c r="E678" s="1">
        <v>44271.494710648149</v>
      </c>
      <c r="F678" t="s">
        <v>17</v>
      </c>
      <c r="G678" t="s">
        <v>36</v>
      </c>
      <c r="H678" s="1">
        <v>44271.375</v>
      </c>
      <c r="I678" s="1">
        <v>44271.489583333336</v>
      </c>
      <c r="J678" s="4">
        <f t="shared" si="10"/>
        <v>0.11458333333575865</v>
      </c>
      <c r="K678" t="s">
        <v>192</v>
      </c>
      <c r="M678">
        <v>0</v>
      </c>
      <c r="N678" s="6">
        <v>0</v>
      </c>
      <c r="Q678" s="2" t="s">
        <v>19</v>
      </c>
    </row>
    <row r="679" spans="1:17" ht="68" x14ac:dyDescent="0.2">
      <c r="A679" t="s">
        <v>189</v>
      </c>
      <c r="B679" t="s">
        <v>114</v>
      </c>
      <c r="C679" t="s">
        <v>16</v>
      </c>
      <c r="D679" s="3">
        <v>44271</v>
      </c>
      <c r="E679" s="1">
        <v>44271.568124999998</v>
      </c>
      <c r="F679" t="s">
        <v>17</v>
      </c>
      <c r="G679" t="s">
        <v>37</v>
      </c>
      <c r="H679" s="1">
        <v>44271.53125</v>
      </c>
      <c r="I679" s="1">
        <v>44271.635416666664</v>
      </c>
      <c r="J679" s="4">
        <f t="shared" si="10"/>
        <v>0.10416666666424135</v>
      </c>
      <c r="K679" t="s">
        <v>192</v>
      </c>
      <c r="M679">
        <v>1</v>
      </c>
      <c r="N679" s="6">
        <v>0</v>
      </c>
      <c r="Q679" s="2" t="s">
        <v>19</v>
      </c>
    </row>
    <row r="680" spans="1:17" ht="68" x14ac:dyDescent="0.2">
      <c r="A680" t="s">
        <v>189</v>
      </c>
      <c r="B680" t="s">
        <v>114</v>
      </c>
      <c r="C680" t="s">
        <v>16</v>
      </c>
      <c r="D680" s="3">
        <v>44272</v>
      </c>
      <c r="E680" s="1">
        <v>44272.476215277777</v>
      </c>
      <c r="F680" t="s">
        <v>17</v>
      </c>
      <c r="G680" t="s">
        <v>38</v>
      </c>
      <c r="H680" s="1">
        <v>44272.354166666664</v>
      </c>
      <c r="I680" s="1">
        <v>44272.479166666664</v>
      </c>
      <c r="J680" s="4">
        <f t="shared" si="10"/>
        <v>0.125</v>
      </c>
      <c r="K680" t="s">
        <v>190</v>
      </c>
      <c r="M680">
        <v>0</v>
      </c>
      <c r="N680" s="5" t="s">
        <v>144</v>
      </c>
      <c r="Q680" s="2" t="s">
        <v>19</v>
      </c>
    </row>
    <row r="681" spans="1:17" ht="68" x14ac:dyDescent="0.2">
      <c r="A681" t="s">
        <v>189</v>
      </c>
      <c r="B681" t="s">
        <v>114</v>
      </c>
      <c r="C681" t="s">
        <v>16</v>
      </c>
      <c r="D681" s="3">
        <v>44273</v>
      </c>
      <c r="E681" s="1">
        <v>44273.420729166668</v>
      </c>
      <c r="F681" t="s">
        <v>17</v>
      </c>
      <c r="G681" t="s">
        <v>39</v>
      </c>
      <c r="H681" s="1">
        <v>44273.375</v>
      </c>
      <c r="I681" s="1">
        <v>44273.489583333336</v>
      </c>
      <c r="J681" s="4">
        <f t="shared" si="10"/>
        <v>0.11458333333575865</v>
      </c>
      <c r="K681" t="s">
        <v>192</v>
      </c>
      <c r="M681">
        <v>2</v>
      </c>
      <c r="N681" s="6">
        <v>0</v>
      </c>
      <c r="Q681" s="2" t="s">
        <v>19</v>
      </c>
    </row>
    <row r="682" spans="1:17" ht="68" x14ac:dyDescent="0.2">
      <c r="A682" t="s">
        <v>189</v>
      </c>
      <c r="B682" t="s">
        <v>114</v>
      </c>
      <c r="C682" t="s">
        <v>16</v>
      </c>
      <c r="D682" s="3">
        <v>44273</v>
      </c>
      <c r="E682" s="1">
        <v>44273.664803240739</v>
      </c>
      <c r="F682" t="s">
        <v>17</v>
      </c>
      <c r="G682" t="s">
        <v>40</v>
      </c>
      <c r="H682" s="1">
        <v>44273.53125</v>
      </c>
      <c r="I682" s="1">
        <v>44273.666666666664</v>
      </c>
      <c r="J682" s="4">
        <f t="shared" si="10"/>
        <v>0.13541666666424135</v>
      </c>
      <c r="K682" t="s">
        <v>192</v>
      </c>
      <c r="M682">
        <v>1</v>
      </c>
      <c r="N682" s="6">
        <v>0</v>
      </c>
      <c r="Q682" s="2" t="s">
        <v>19</v>
      </c>
    </row>
    <row r="683" spans="1:17" ht="68" x14ac:dyDescent="0.2">
      <c r="A683" t="s">
        <v>189</v>
      </c>
      <c r="B683" t="s">
        <v>114</v>
      </c>
      <c r="C683" t="s">
        <v>16</v>
      </c>
      <c r="D683" s="3">
        <v>44279</v>
      </c>
      <c r="E683" s="1">
        <v>44279.473773148151</v>
      </c>
      <c r="F683" t="s">
        <v>17</v>
      </c>
      <c r="G683" t="s">
        <v>41</v>
      </c>
      <c r="H683" s="1">
        <v>44279.354166666664</v>
      </c>
      <c r="I683" s="1">
        <v>44279.479166666664</v>
      </c>
      <c r="J683" s="4">
        <f t="shared" si="10"/>
        <v>0.125</v>
      </c>
      <c r="K683" t="s">
        <v>190</v>
      </c>
      <c r="M683">
        <v>1</v>
      </c>
      <c r="N683" s="6">
        <v>0</v>
      </c>
      <c r="Q683" s="2" t="s">
        <v>19</v>
      </c>
    </row>
    <row r="684" spans="1:17" ht="68" x14ac:dyDescent="0.2">
      <c r="A684" t="s">
        <v>189</v>
      </c>
      <c r="B684" t="s">
        <v>114</v>
      </c>
      <c r="C684" t="s">
        <v>16</v>
      </c>
      <c r="D684" s="3">
        <v>44284</v>
      </c>
      <c r="E684" s="1">
        <v>44284.472766203704</v>
      </c>
      <c r="F684" t="s">
        <v>17</v>
      </c>
      <c r="G684" t="s">
        <v>38</v>
      </c>
      <c r="H684" s="1">
        <v>44284.354166666664</v>
      </c>
      <c r="I684" s="1">
        <v>44284.479166666664</v>
      </c>
      <c r="J684" s="4">
        <f t="shared" si="10"/>
        <v>0.125</v>
      </c>
      <c r="K684" t="s">
        <v>190</v>
      </c>
      <c r="M684">
        <v>0</v>
      </c>
      <c r="N684" s="5" t="s">
        <v>144</v>
      </c>
      <c r="Q684" s="2" t="s">
        <v>19</v>
      </c>
    </row>
    <row r="685" spans="1:17" ht="68" x14ac:dyDescent="0.2">
      <c r="A685" t="s">
        <v>189</v>
      </c>
      <c r="B685" t="s">
        <v>114</v>
      </c>
      <c r="C685" t="s">
        <v>16</v>
      </c>
      <c r="D685" s="3">
        <v>44285</v>
      </c>
      <c r="E685" s="1">
        <v>44285.494444444441</v>
      </c>
      <c r="F685" t="s">
        <v>17</v>
      </c>
      <c r="G685" t="s">
        <v>29</v>
      </c>
      <c r="H685" s="1">
        <v>44285.375</v>
      </c>
      <c r="I685" s="1">
        <v>44285.489583333336</v>
      </c>
      <c r="J685" s="4">
        <f t="shared" si="10"/>
        <v>0.11458333333575865</v>
      </c>
      <c r="K685" t="s">
        <v>192</v>
      </c>
      <c r="M685">
        <v>0</v>
      </c>
      <c r="N685" s="6">
        <v>0</v>
      </c>
      <c r="Q685" s="2" t="s">
        <v>19</v>
      </c>
    </row>
    <row r="686" spans="1:17" ht="68" x14ac:dyDescent="0.2">
      <c r="A686" t="s">
        <v>189</v>
      </c>
      <c r="B686" t="s">
        <v>114</v>
      </c>
      <c r="C686" t="s">
        <v>16</v>
      </c>
      <c r="D686" s="3">
        <v>44285</v>
      </c>
      <c r="E686" s="1">
        <v>44285.601099537038</v>
      </c>
      <c r="F686" t="s">
        <v>17</v>
      </c>
      <c r="G686" t="s">
        <v>42</v>
      </c>
      <c r="H686" s="1">
        <v>44285.53125</v>
      </c>
      <c r="I686" s="1">
        <v>44285.666666666664</v>
      </c>
      <c r="J686" s="4">
        <f t="shared" si="10"/>
        <v>0.13541666666424135</v>
      </c>
      <c r="K686" t="s">
        <v>192</v>
      </c>
      <c r="M686">
        <v>1</v>
      </c>
      <c r="N686" s="6">
        <v>0</v>
      </c>
      <c r="Q686" s="2" t="s">
        <v>19</v>
      </c>
    </row>
    <row r="687" spans="1:17" ht="68" x14ac:dyDescent="0.2">
      <c r="A687" t="s">
        <v>189</v>
      </c>
      <c r="B687" t="s">
        <v>114</v>
      </c>
      <c r="C687" t="s">
        <v>16</v>
      </c>
      <c r="D687" s="3">
        <v>44286</v>
      </c>
      <c r="E687" s="1">
        <v>44286.472013888888</v>
      </c>
      <c r="F687" t="s">
        <v>17</v>
      </c>
      <c r="G687" t="s">
        <v>31</v>
      </c>
      <c r="H687" s="1">
        <v>44286.354166666664</v>
      </c>
      <c r="I687" s="1">
        <v>44286.479166666664</v>
      </c>
      <c r="J687" s="4">
        <f t="shared" si="10"/>
        <v>0.125</v>
      </c>
      <c r="K687" t="s">
        <v>190</v>
      </c>
      <c r="M687">
        <v>1</v>
      </c>
      <c r="N687" s="6">
        <v>0</v>
      </c>
      <c r="Q687" s="2" t="s">
        <v>19</v>
      </c>
    </row>
    <row r="688" spans="1:17" ht="68" x14ac:dyDescent="0.2">
      <c r="A688" t="s">
        <v>189</v>
      </c>
      <c r="B688" t="s">
        <v>114</v>
      </c>
      <c r="C688" t="s">
        <v>16</v>
      </c>
      <c r="D688" s="3">
        <v>44287</v>
      </c>
      <c r="E688" s="1">
        <v>44287.483935185184</v>
      </c>
      <c r="F688" t="s">
        <v>17</v>
      </c>
      <c r="G688" t="s">
        <v>43</v>
      </c>
      <c r="H688" s="1">
        <v>44287.375</v>
      </c>
      <c r="I688" s="1">
        <v>44287.489583333336</v>
      </c>
      <c r="J688" s="4">
        <f t="shared" si="10"/>
        <v>0.11458333333575865</v>
      </c>
      <c r="K688" t="s">
        <v>192</v>
      </c>
      <c r="M688">
        <v>0</v>
      </c>
      <c r="N688" s="6">
        <v>0</v>
      </c>
      <c r="Q688" s="2" t="s">
        <v>19</v>
      </c>
    </row>
    <row r="689" spans="1:17" ht="68" x14ac:dyDescent="0.2">
      <c r="A689" t="s">
        <v>189</v>
      </c>
      <c r="B689" t="s">
        <v>114</v>
      </c>
      <c r="C689" t="s">
        <v>16</v>
      </c>
      <c r="D689" s="3">
        <v>44287</v>
      </c>
      <c r="E689" s="1">
        <v>44287.664398148147</v>
      </c>
      <c r="F689" t="s">
        <v>17</v>
      </c>
      <c r="G689" t="s">
        <v>37</v>
      </c>
      <c r="H689" s="1">
        <v>44287.53125</v>
      </c>
      <c r="I689" s="1">
        <v>44287.666666666664</v>
      </c>
      <c r="J689" s="4">
        <f t="shared" si="10"/>
        <v>0.13541666666424135</v>
      </c>
      <c r="K689" t="s">
        <v>192</v>
      </c>
      <c r="M689">
        <v>0</v>
      </c>
      <c r="N689" s="6">
        <v>0</v>
      </c>
      <c r="Q689" s="2" t="s">
        <v>19</v>
      </c>
    </row>
    <row r="690" spans="1:17" ht="68" x14ac:dyDescent="0.2">
      <c r="A690" t="s">
        <v>189</v>
      </c>
      <c r="B690" t="s">
        <v>114</v>
      </c>
      <c r="C690" t="s">
        <v>16</v>
      </c>
      <c r="D690" s="3">
        <v>44288</v>
      </c>
      <c r="E690" s="1">
        <v>44288.474456018521</v>
      </c>
      <c r="F690" t="s">
        <v>17</v>
      </c>
      <c r="G690" t="s">
        <v>38</v>
      </c>
      <c r="H690" s="1">
        <v>44288.354166666664</v>
      </c>
      <c r="I690" s="1">
        <v>44288.479166666664</v>
      </c>
      <c r="J690" s="4">
        <f t="shared" si="10"/>
        <v>0.125</v>
      </c>
      <c r="K690" t="s">
        <v>190</v>
      </c>
      <c r="M690">
        <v>0</v>
      </c>
      <c r="N690" s="5" t="s">
        <v>144</v>
      </c>
      <c r="Q690" s="2" t="s">
        <v>19</v>
      </c>
    </row>
    <row r="691" spans="1:17" ht="68" x14ac:dyDescent="0.2">
      <c r="A691" t="s">
        <v>189</v>
      </c>
      <c r="B691" t="s">
        <v>114</v>
      </c>
      <c r="C691" t="s">
        <v>16</v>
      </c>
      <c r="D691" s="3">
        <v>44291</v>
      </c>
      <c r="E691" s="1">
        <v>44291.465474537035</v>
      </c>
      <c r="F691" t="s">
        <v>17</v>
      </c>
      <c r="G691" t="s">
        <v>38</v>
      </c>
      <c r="H691" s="1">
        <v>44291.354166666664</v>
      </c>
      <c r="I691" s="1">
        <v>44291.479166666664</v>
      </c>
      <c r="J691" s="4">
        <f t="shared" si="10"/>
        <v>0.125</v>
      </c>
      <c r="K691" t="s">
        <v>190</v>
      </c>
      <c r="M691">
        <v>0</v>
      </c>
      <c r="N691" s="5" t="s">
        <v>144</v>
      </c>
      <c r="Q691" s="2" t="s">
        <v>19</v>
      </c>
    </row>
    <row r="692" spans="1:17" ht="68" x14ac:dyDescent="0.2">
      <c r="A692" t="s">
        <v>189</v>
      </c>
      <c r="B692" t="s">
        <v>114</v>
      </c>
      <c r="C692" t="s">
        <v>16</v>
      </c>
      <c r="D692" s="3">
        <v>44292</v>
      </c>
      <c r="E692" s="1">
        <v>44292.489189814813</v>
      </c>
      <c r="F692" t="s">
        <v>17</v>
      </c>
      <c r="G692" t="s">
        <v>44</v>
      </c>
      <c r="H692" s="1">
        <v>44292.375</v>
      </c>
      <c r="I692" s="1">
        <v>44292.489583333336</v>
      </c>
      <c r="J692" s="4">
        <f t="shared" si="10"/>
        <v>0.11458333333575865</v>
      </c>
      <c r="K692" t="s">
        <v>192</v>
      </c>
      <c r="M692">
        <v>0</v>
      </c>
      <c r="N692" s="6">
        <v>0</v>
      </c>
      <c r="Q692" s="2" t="s">
        <v>19</v>
      </c>
    </row>
    <row r="693" spans="1:17" ht="68" x14ac:dyDescent="0.2">
      <c r="A693" t="s">
        <v>189</v>
      </c>
      <c r="B693" t="s">
        <v>114</v>
      </c>
      <c r="C693" t="s">
        <v>16</v>
      </c>
      <c r="D693" s="3">
        <v>44292</v>
      </c>
      <c r="E693" s="1">
        <v>44292.661631944444</v>
      </c>
      <c r="F693" t="s">
        <v>17</v>
      </c>
      <c r="G693" t="s">
        <v>45</v>
      </c>
      <c r="H693" s="1">
        <v>44292.53125</v>
      </c>
      <c r="I693" s="1">
        <v>44292.666666666664</v>
      </c>
      <c r="J693" s="4">
        <f t="shared" si="10"/>
        <v>0.13541666666424135</v>
      </c>
      <c r="K693" t="s">
        <v>193</v>
      </c>
      <c r="M693">
        <v>8</v>
      </c>
      <c r="N693" s="6">
        <v>0</v>
      </c>
      <c r="Q693" s="2" t="s">
        <v>19</v>
      </c>
    </row>
    <row r="694" spans="1:17" ht="68" x14ac:dyDescent="0.2">
      <c r="A694" t="s">
        <v>189</v>
      </c>
      <c r="B694" t="s">
        <v>114</v>
      </c>
      <c r="C694" t="s">
        <v>16</v>
      </c>
      <c r="D694" s="3">
        <v>44293</v>
      </c>
      <c r="E694" s="1">
        <v>44293.459641203706</v>
      </c>
      <c r="F694" t="s">
        <v>17</v>
      </c>
      <c r="G694" t="s">
        <v>18</v>
      </c>
      <c r="H694" s="1">
        <v>44293.354166666664</v>
      </c>
      <c r="I694" s="1">
        <v>44293.479166666664</v>
      </c>
      <c r="J694" s="4">
        <f t="shared" si="10"/>
        <v>0.125</v>
      </c>
      <c r="K694" t="s">
        <v>190</v>
      </c>
      <c r="M694">
        <v>0</v>
      </c>
      <c r="N694" s="5" t="s">
        <v>144</v>
      </c>
      <c r="Q694" s="2" t="s">
        <v>19</v>
      </c>
    </row>
    <row r="695" spans="1:17" ht="68" x14ac:dyDescent="0.2">
      <c r="A695" t="s">
        <v>189</v>
      </c>
      <c r="B695" t="s">
        <v>114</v>
      </c>
      <c r="C695" t="s">
        <v>16</v>
      </c>
      <c r="D695" s="3">
        <v>44294</v>
      </c>
      <c r="E695" s="1">
        <v>44294.487118055556</v>
      </c>
      <c r="F695" t="s">
        <v>17</v>
      </c>
      <c r="G695" t="s">
        <v>46</v>
      </c>
      <c r="H695" s="1">
        <v>44294.375</v>
      </c>
      <c r="I695" s="1">
        <v>44294.489583333336</v>
      </c>
      <c r="J695" s="4">
        <f t="shared" si="10"/>
        <v>0.11458333333575865</v>
      </c>
      <c r="K695" t="s">
        <v>194</v>
      </c>
      <c r="M695">
        <v>5</v>
      </c>
      <c r="N695" s="6">
        <v>0</v>
      </c>
      <c r="Q695" s="2" t="s">
        <v>19</v>
      </c>
    </row>
    <row r="696" spans="1:17" ht="68" x14ac:dyDescent="0.2">
      <c r="A696" t="s">
        <v>189</v>
      </c>
      <c r="B696" t="s">
        <v>114</v>
      </c>
      <c r="C696" t="s">
        <v>16</v>
      </c>
      <c r="D696" s="3">
        <v>44294</v>
      </c>
      <c r="E696" s="1">
        <v>44294.669525462959</v>
      </c>
      <c r="F696" t="s">
        <v>17</v>
      </c>
      <c r="G696" t="s">
        <v>42</v>
      </c>
      <c r="H696" s="1">
        <v>44294.53125</v>
      </c>
      <c r="I696" s="1">
        <v>44294.666666666664</v>
      </c>
      <c r="J696" s="4">
        <f t="shared" si="10"/>
        <v>0.13541666666424135</v>
      </c>
      <c r="K696" t="s">
        <v>192</v>
      </c>
      <c r="M696">
        <v>0</v>
      </c>
      <c r="N696" s="6">
        <v>0</v>
      </c>
      <c r="Q696" s="2" t="s">
        <v>19</v>
      </c>
    </row>
    <row r="697" spans="1:17" ht="68" x14ac:dyDescent="0.2">
      <c r="A697" t="s">
        <v>189</v>
      </c>
      <c r="B697" t="s">
        <v>114</v>
      </c>
      <c r="C697" t="s">
        <v>16</v>
      </c>
      <c r="D697" s="3">
        <v>44298</v>
      </c>
      <c r="E697" s="1">
        <v>44298.560578703706</v>
      </c>
      <c r="F697" t="s">
        <v>17</v>
      </c>
      <c r="G697" t="s">
        <v>45</v>
      </c>
      <c r="H697" s="1">
        <v>44298.53125</v>
      </c>
      <c r="I697" s="1">
        <v>44298.666666666664</v>
      </c>
      <c r="J697" s="4">
        <f t="shared" si="10"/>
        <v>0.13541666666424135</v>
      </c>
      <c r="K697" t="s">
        <v>195</v>
      </c>
      <c r="M697">
        <v>3</v>
      </c>
      <c r="N697" s="6">
        <v>0</v>
      </c>
      <c r="Q697" s="2" t="s">
        <v>19</v>
      </c>
    </row>
    <row r="698" spans="1:17" ht="68" x14ac:dyDescent="0.2">
      <c r="A698" t="s">
        <v>189</v>
      </c>
      <c r="B698" t="s">
        <v>114</v>
      </c>
      <c r="C698" t="s">
        <v>16</v>
      </c>
      <c r="D698" s="3">
        <v>44298</v>
      </c>
      <c r="E698" s="1">
        <v>44298.660844907405</v>
      </c>
      <c r="F698" t="s">
        <v>17</v>
      </c>
      <c r="G698" t="s">
        <v>45</v>
      </c>
      <c r="H698" s="1">
        <v>44298.53125</v>
      </c>
      <c r="I698" s="1">
        <v>44298.666666666664</v>
      </c>
      <c r="J698" s="4">
        <f t="shared" si="10"/>
        <v>0.13541666666424135</v>
      </c>
      <c r="K698" t="s">
        <v>195</v>
      </c>
      <c r="M698">
        <v>1</v>
      </c>
      <c r="N698" s="6">
        <v>0</v>
      </c>
      <c r="Q698" s="2" t="s">
        <v>19</v>
      </c>
    </row>
    <row r="699" spans="1:17" ht="68" x14ac:dyDescent="0.2">
      <c r="A699" t="s">
        <v>189</v>
      </c>
      <c r="B699" t="s">
        <v>114</v>
      </c>
      <c r="C699" t="s">
        <v>16</v>
      </c>
      <c r="D699" s="3">
        <v>44299</v>
      </c>
      <c r="E699" s="1">
        <v>44299.488541666666</v>
      </c>
      <c r="F699" t="s">
        <v>17</v>
      </c>
      <c r="G699" t="s">
        <v>47</v>
      </c>
      <c r="H699" s="1">
        <v>44299.375</v>
      </c>
      <c r="I699" s="1">
        <v>44299.510416666664</v>
      </c>
      <c r="J699" s="4">
        <f t="shared" si="10"/>
        <v>0.13541666666424135</v>
      </c>
      <c r="K699" t="s">
        <v>192</v>
      </c>
      <c r="M699">
        <v>0</v>
      </c>
      <c r="N699" s="6">
        <v>0</v>
      </c>
      <c r="Q699" s="2" t="s">
        <v>19</v>
      </c>
    </row>
    <row r="700" spans="1:17" ht="68" x14ac:dyDescent="0.2">
      <c r="A700" t="s">
        <v>189</v>
      </c>
      <c r="B700" t="s">
        <v>114</v>
      </c>
      <c r="C700" t="s">
        <v>16</v>
      </c>
      <c r="D700" s="3">
        <v>44299</v>
      </c>
      <c r="E700" s="1">
        <v>44299.633993055555</v>
      </c>
      <c r="F700" t="s">
        <v>17</v>
      </c>
      <c r="G700" t="s">
        <v>48</v>
      </c>
      <c r="H700" s="1">
        <v>44299.53125</v>
      </c>
      <c r="I700" s="1">
        <v>44299.635416666664</v>
      </c>
      <c r="J700" s="4">
        <f t="shared" si="10"/>
        <v>0.10416666666424135</v>
      </c>
      <c r="K700" t="s">
        <v>192</v>
      </c>
      <c r="M700">
        <v>1</v>
      </c>
      <c r="N700" s="6">
        <v>0</v>
      </c>
      <c r="Q700" s="2" t="s">
        <v>19</v>
      </c>
    </row>
    <row r="701" spans="1:17" ht="68" x14ac:dyDescent="0.2">
      <c r="A701" t="s">
        <v>189</v>
      </c>
      <c r="B701" t="s">
        <v>114</v>
      </c>
      <c r="C701" t="s">
        <v>16</v>
      </c>
      <c r="D701" s="3">
        <v>44299</v>
      </c>
      <c r="E701" s="1">
        <v>44299.667442129627</v>
      </c>
      <c r="F701" t="s">
        <v>17</v>
      </c>
      <c r="G701" t="s">
        <v>49</v>
      </c>
      <c r="H701" s="1">
        <v>44299.63958333333</v>
      </c>
      <c r="I701" s="1">
        <v>44299.666666666664</v>
      </c>
      <c r="J701" s="4">
        <f t="shared" si="10"/>
        <v>2.7083333334303461E-2</v>
      </c>
      <c r="K701" t="s">
        <v>196</v>
      </c>
      <c r="M701">
        <v>0</v>
      </c>
      <c r="N701" s="6">
        <v>0</v>
      </c>
      <c r="Q701" s="2" t="s">
        <v>19</v>
      </c>
    </row>
    <row r="702" spans="1:17" ht="68" x14ac:dyDescent="0.2">
      <c r="A702" t="s">
        <v>189</v>
      </c>
      <c r="B702" t="s">
        <v>114</v>
      </c>
      <c r="C702" t="s">
        <v>16</v>
      </c>
      <c r="D702" s="3">
        <v>44300</v>
      </c>
      <c r="E702" s="1">
        <v>44300.490532407406</v>
      </c>
      <c r="F702" t="s">
        <v>17</v>
      </c>
      <c r="G702" t="s">
        <v>50</v>
      </c>
      <c r="H702" s="1">
        <v>44300.375</v>
      </c>
      <c r="I702" s="1">
        <v>44300.489583333336</v>
      </c>
      <c r="J702" s="4">
        <f t="shared" si="10"/>
        <v>0.11458333333575865</v>
      </c>
      <c r="K702" t="s">
        <v>197</v>
      </c>
      <c r="M702">
        <v>0</v>
      </c>
      <c r="N702" s="6">
        <v>0</v>
      </c>
      <c r="Q702" s="2" t="s">
        <v>19</v>
      </c>
    </row>
    <row r="703" spans="1:17" ht="68" x14ac:dyDescent="0.2">
      <c r="A703" t="s">
        <v>189</v>
      </c>
      <c r="B703" t="s">
        <v>114</v>
      </c>
      <c r="C703" t="s">
        <v>16</v>
      </c>
      <c r="D703" s="3">
        <v>44300</v>
      </c>
      <c r="E703" s="1">
        <v>44300.669421296298</v>
      </c>
      <c r="F703" t="s">
        <v>17</v>
      </c>
      <c r="G703" t="s">
        <v>51</v>
      </c>
      <c r="H703" s="1">
        <v>44300.552083333336</v>
      </c>
      <c r="I703" s="1">
        <v>44300.666666666664</v>
      </c>
      <c r="J703" s="4">
        <f t="shared" si="10"/>
        <v>0.11458333332848269</v>
      </c>
      <c r="K703" t="s">
        <v>198</v>
      </c>
      <c r="M703">
        <v>0</v>
      </c>
      <c r="N703" s="6">
        <v>0</v>
      </c>
      <c r="Q703" s="2" t="s">
        <v>19</v>
      </c>
    </row>
    <row r="704" spans="1:17" ht="68" x14ac:dyDescent="0.2">
      <c r="A704" t="s">
        <v>189</v>
      </c>
      <c r="B704" t="s">
        <v>114</v>
      </c>
      <c r="C704" t="s">
        <v>16</v>
      </c>
      <c r="D704" s="3">
        <v>44301</v>
      </c>
      <c r="E704" s="1">
        <v>44301.45752314815</v>
      </c>
      <c r="F704" t="s">
        <v>17</v>
      </c>
      <c r="G704" t="s">
        <v>52</v>
      </c>
      <c r="H704" s="1">
        <v>44301.375</v>
      </c>
      <c r="I704" s="1">
        <v>44301.510416666664</v>
      </c>
      <c r="J704" s="4">
        <f t="shared" si="10"/>
        <v>0.13541666666424135</v>
      </c>
      <c r="K704" t="s">
        <v>192</v>
      </c>
      <c r="M704">
        <v>1</v>
      </c>
      <c r="N704" s="6">
        <v>0</v>
      </c>
      <c r="Q704" s="2" t="s">
        <v>19</v>
      </c>
    </row>
    <row r="705" spans="1:17" ht="68" x14ac:dyDescent="0.2">
      <c r="A705" t="s">
        <v>189</v>
      </c>
      <c r="B705" t="s">
        <v>114</v>
      </c>
      <c r="C705" t="s">
        <v>16</v>
      </c>
      <c r="D705" s="3">
        <v>44301</v>
      </c>
      <c r="E705" s="1">
        <v>44301.54478009259</v>
      </c>
      <c r="F705" t="s">
        <v>17</v>
      </c>
      <c r="G705" t="s">
        <v>37</v>
      </c>
      <c r="H705" s="1">
        <v>44301.53125</v>
      </c>
      <c r="I705" s="1">
        <v>44301.666666666664</v>
      </c>
      <c r="J705" s="4">
        <f t="shared" si="10"/>
        <v>0.13541666666424135</v>
      </c>
      <c r="K705" t="s">
        <v>192</v>
      </c>
      <c r="M705">
        <v>1</v>
      </c>
      <c r="N705" s="6">
        <v>0</v>
      </c>
      <c r="O705" t="s">
        <v>102</v>
      </c>
      <c r="P705" t="s">
        <v>89</v>
      </c>
      <c r="Q705" s="2" t="s">
        <v>19</v>
      </c>
    </row>
    <row r="706" spans="1:17" ht="68" x14ac:dyDescent="0.2">
      <c r="A706" t="s">
        <v>189</v>
      </c>
      <c r="B706" t="s">
        <v>114</v>
      </c>
      <c r="C706" t="s">
        <v>16</v>
      </c>
      <c r="D706" s="3">
        <v>44301</v>
      </c>
      <c r="E706" s="1">
        <v>44301.562349537038</v>
      </c>
      <c r="F706" t="s">
        <v>17</v>
      </c>
      <c r="G706" t="s">
        <v>37</v>
      </c>
      <c r="H706" s="1">
        <v>44301.53125</v>
      </c>
      <c r="I706" s="1">
        <v>44301.666666666664</v>
      </c>
      <c r="J706" s="4">
        <f t="shared" si="10"/>
        <v>0.13541666666424135</v>
      </c>
      <c r="K706" t="s">
        <v>192</v>
      </c>
      <c r="M706">
        <v>3</v>
      </c>
      <c r="N706" s="6">
        <v>0</v>
      </c>
      <c r="Q706" s="2" t="s">
        <v>19</v>
      </c>
    </row>
    <row r="707" spans="1:17" ht="68" x14ac:dyDescent="0.2">
      <c r="A707" t="s">
        <v>189</v>
      </c>
      <c r="B707" t="s">
        <v>114</v>
      </c>
      <c r="C707" t="s">
        <v>16</v>
      </c>
      <c r="D707" s="3">
        <v>44302</v>
      </c>
      <c r="E707" s="1">
        <v>44302.486817129633</v>
      </c>
      <c r="F707" t="s">
        <v>17</v>
      </c>
      <c r="G707" t="s">
        <v>53</v>
      </c>
      <c r="H707" s="1">
        <v>44302.395833333336</v>
      </c>
      <c r="I707" s="1">
        <v>44302.489583333336</v>
      </c>
      <c r="J707" s="4">
        <f t="shared" ref="J707:J770" si="11">IF($I707="","",$I707-$H707)</f>
        <v>9.375E-2</v>
      </c>
      <c r="K707" t="s">
        <v>199</v>
      </c>
      <c r="M707">
        <v>1</v>
      </c>
      <c r="N707" s="6">
        <v>0</v>
      </c>
      <c r="Q707" s="2" t="s">
        <v>19</v>
      </c>
    </row>
    <row r="708" spans="1:17" ht="68" x14ac:dyDescent="0.2">
      <c r="A708" t="s">
        <v>189</v>
      </c>
      <c r="B708" t="s">
        <v>114</v>
      </c>
      <c r="C708" t="s">
        <v>16</v>
      </c>
      <c r="D708" s="3">
        <v>44302</v>
      </c>
      <c r="E708" s="1">
        <v>44302.615173611113</v>
      </c>
      <c r="F708" t="s">
        <v>17</v>
      </c>
      <c r="G708" t="s">
        <v>54</v>
      </c>
      <c r="H708" s="1">
        <v>44302.53125</v>
      </c>
      <c r="I708" s="1">
        <v>44302.666666666664</v>
      </c>
      <c r="J708" s="4">
        <f t="shared" si="11"/>
        <v>0.13541666666424135</v>
      </c>
      <c r="K708" t="s">
        <v>195</v>
      </c>
      <c r="M708">
        <v>3</v>
      </c>
      <c r="N708" s="6">
        <v>0</v>
      </c>
      <c r="Q708" s="2" t="s">
        <v>19</v>
      </c>
    </row>
    <row r="709" spans="1:17" ht="68" x14ac:dyDescent="0.2">
      <c r="A709" t="s">
        <v>189</v>
      </c>
      <c r="B709" t="s">
        <v>114</v>
      </c>
      <c r="C709" t="s">
        <v>16</v>
      </c>
      <c r="D709" s="3">
        <v>44302</v>
      </c>
      <c r="E709" s="1">
        <v>44302.658032407409</v>
      </c>
      <c r="F709" t="s">
        <v>17</v>
      </c>
      <c r="G709" t="s">
        <v>54</v>
      </c>
      <c r="H709" s="1">
        <v>44302.53125</v>
      </c>
      <c r="I709" s="1">
        <v>44302.666666666664</v>
      </c>
      <c r="J709" s="4">
        <f t="shared" si="11"/>
        <v>0.13541666666424135</v>
      </c>
      <c r="K709" t="s">
        <v>195</v>
      </c>
      <c r="M709">
        <v>1</v>
      </c>
      <c r="N709" s="6">
        <v>0</v>
      </c>
      <c r="Q709" s="2" t="s">
        <v>19</v>
      </c>
    </row>
    <row r="710" spans="1:17" ht="68" x14ac:dyDescent="0.2">
      <c r="A710" t="s">
        <v>189</v>
      </c>
      <c r="B710" t="s">
        <v>114</v>
      </c>
      <c r="C710" t="s">
        <v>16</v>
      </c>
      <c r="D710" s="3">
        <v>44307</v>
      </c>
      <c r="E710" s="1">
        <v>44307.489016203705</v>
      </c>
      <c r="F710" t="s">
        <v>17</v>
      </c>
      <c r="G710" t="s">
        <v>36</v>
      </c>
      <c r="H710" s="1">
        <v>44307.375</v>
      </c>
      <c r="I710" s="1">
        <v>44307.489583333336</v>
      </c>
      <c r="J710" s="4">
        <f t="shared" si="11"/>
        <v>0.11458333333575865</v>
      </c>
      <c r="K710" t="s">
        <v>197</v>
      </c>
      <c r="M710">
        <v>0</v>
      </c>
      <c r="N710" s="6">
        <v>0</v>
      </c>
      <c r="Q710" s="2" t="s">
        <v>19</v>
      </c>
    </row>
    <row r="711" spans="1:17" ht="68" x14ac:dyDescent="0.2">
      <c r="A711" t="s">
        <v>189</v>
      </c>
      <c r="B711" t="s">
        <v>114</v>
      </c>
      <c r="C711" t="s">
        <v>16</v>
      </c>
      <c r="D711" s="3">
        <v>44307</v>
      </c>
      <c r="E711" s="1">
        <v>44307.651087962964</v>
      </c>
      <c r="F711" t="s">
        <v>17</v>
      </c>
      <c r="G711" t="s">
        <v>37</v>
      </c>
      <c r="H711" s="1">
        <v>44307.53125</v>
      </c>
      <c r="I711" s="1">
        <v>44307.666666666664</v>
      </c>
      <c r="J711" s="4">
        <f t="shared" si="11"/>
        <v>0.13541666666424135</v>
      </c>
      <c r="K711" t="s">
        <v>195</v>
      </c>
      <c r="M711">
        <v>2</v>
      </c>
      <c r="N711" s="6">
        <v>0</v>
      </c>
      <c r="Q711" s="2" t="s">
        <v>19</v>
      </c>
    </row>
    <row r="712" spans="1:17" ht="68" x14ac:dyDescent="0.2">
      <c r="A712" t="s">
        <v>189</v>
      </c>
      <c r="B712" t="s">
        <v>114</v>
      </c>
      <c r="C712" t="s">
        <v>16</v>
      </c>
      <c r="D712" s="3">
        <v>44308</v>
      </c>
      <c r="E712" s="1">
        <v>44308.46601851852</v>
      </c>
      <c r="F712" t="s">
        <v>17</v>
      </c>
      <c r="G712" t="s">
        <v>55</v>
      </c>
      <c r="H712" s="1">
        <v>44308.375</v>
      </c>
      <c r="I712" s="1">
        <v>44308.510416666664</v>
      </c>
      <c r="J712" s="4">
        <f t="shared" si="11"/>
        <v>0.13541666666424135</v>
      </c>
      <c r="K712" t="s">
        <v>200</v>
      </c>
      <c r="M712">
        <v>3</v>
      </c>
      <c r="N712" s="6">
        <v>0</v>
      </c>
      <c r="Q712" s="2" t="s">
        <v>19</v>
      </c>
    </row>
    <row r="713" spans="1:17" ht="68" x14ac:dyDescent="0.2">
      <c r="A713" t="s">
        <v>189</v>
      </c>
      <c r="B713" t="s">
        <v>114</v>
      </c>
      <c r="C713" t="s">
        <v>16</v>
      </c>
      <c r="D713" s="3">
        <v>44308</v>
      </c>
      <c r="E713" s="1">
        <v>44308.498807870368</v>
      </c>
      <c r="F713" t="s">
        <v>17</v>
      </c>
      <c r="G713" t="s">
        <v>55</v>
      </c>
      <c r="H713" s="1">
        <v>44308.375</v>
      </c>
      <c r="I713" s="1">
        <v>44308.510416666664</v>
      </c>
      <c r="J713" s="4">
        <f t="shared" si="11"/>
        <v>0.13541666666424135</v>
      </c>
      <c r="K713" t="s">
        <v>200</v>
      </c>
      <c r="M713">
        <v>3</v>
      </c>
      <c r="N713" s="6">
        <v>0</v>
      </c>
      <c r="Q713" s="2" t="s">
        <v>19</v>
      </c>
    </row>
    <row r="714" spans="1:17" ht="68" x14ac:dyDescent="0.2">
      <c r="A714" t="s">
        <v>189</v>
      </c>
      <c r="B714" t="s">
        <v>114</v>
      </c>
      <c r="C714" t="s">
        <v>16</v>
      </c>
      <c r="D714" s="3">
        <v>44308</v>
      </c>
      <c r="E714" s="1">
        <v>44308.503946759258</v>
      </c>
      <c r="F714" t="s">
        <v>17</v>
      </c>
      <c r="G714" t="s">
        <v>55</v>
      </c>
      <c r="H714" s="1">
        <v>44308.375</v>
      </c>
      <c r="I714" s="1">
        <v>44308.510416666664</v>
      </c>
      <c r="J714" s="4">
        <f t="shared" si="11"/>
        <v>0.13541666666424135</v>
      </c>
      <c r="K714" t="s">
        <v>200</v>
      </c>
      <c r="M714">
        <v>4</v>
      </c>
      <c r="N714" s="6">
        <v>0</v>
      </c>
      <c r="Q714" s="2" t="s">
        <v>19</v>
      </c>
    </row>
    <row r="715" spans="1:17" ht="68" x14ac:dyDescent="0.2">
      <c r="A715" t="s">
        <v>189</v>
      </c>
      <c r="B715" t="s">
        <v>114</v>
      </c>
      <c r="C715" t="s">
        <v>16</v>
      </c>
      <c r="D715" s="3">
        <v>44308</v>
      </c>
      <c r="E715" s="1">
        <v>44308.664490740739</v>
      </c>
      <c r="F715" t="s">
        <v>17</v>
      </c>
      <c r="G715" t="s">
        <v>56</v>
      </c>
      <c r="H715" s="1">
        <v>44308.541666666664</v>
      </c>
      <c r="I715" s="1">
        <v>44308.666666666664</v>
      </c>
      <c r="J715" s="4">
        <f t="shared" si="11"/>
        <v>0.125</v>
      </c>
      <c r="K715" t="s">
        <v>192</v>
      </c>
      <c r="M715">
        <v>0</v>
      </c>
      <c r="N715" s="6">
        <v>0</v>
      </c>
      <c r="Q715" s="2" t="s">
        <v>19</v>
      </c>
    </row>
    <row r="716" spans="1:17" ht="68" x14ac:dyDescent="0.2">
      <c r="A716" t="s">
        <v>189</v>
      </c>
      <c r="B716" t="s">
        <v>114</v>
      </c>
      <c r="C716" t="s">
        <v>16</v>
      </c>
      <c r="D716" s="3">
        <v>44309</v>
      </c>
      <c r="E716" s="1">
        <v>44309.492326388892</v>
      </c>
      <c r="F716" t="s">
        <v>17</v>
      </c>
      <c r="G716" t="s">
        <v>100</v>
      </c>
      <c r="H716" s="1">
        <v>44309.375</v>
      </c>
      <c r="I716" s="1">
        <v>44309.489583333336</v>
      </c>
      <c r="J716" s="4">
        <f t="shared" si="11"/>
        <v>0.11458333333575865</v>
      </c>
      <c r="K716" t="s">
        <v>222</v>
      </c>
      <c r="M716">
        <v>1</v>
      </c>
      <c r="N716" s="6">
        <v>0</v>
      </c>
      <c r="Q716" s="2" t="s">
        <v>19</v>
      </c>
    </row>
    <row r="717" spans="1:17" ht="68" x14ac:dyDescent="0.2">
      <c r="A717" t="s">
        <v>189</v>
      </c>
      <c r="B717" t="s">
        <v>114</v>
      </c>
      <c r="C717" t="s">
        <v>16</v>
      </c>
      <c r="D717" s="3">
        <v>44309</v>
      </c>
      <c r="E717" s="1">
        <v>44309.657418981478</v>
      </c>
      <c r="F717" t="s">
        <v>17</v>
      </c>
      <c r="G717" t="s">
        <v>42</v>
      </c>
      <c r="H717" s="1">
        <v>44309.53125</v>
      </c>
      <c r="I717" s="1">
        <v>44309.666666666664</v>
      </c>
      <c r="J717" s="4">
        <f t="shared" si="11"/>
        <v>0.13541666666424135</v>
      </c>
      <c r="K717" t="s">
        <v>207</v>
      </c>
      <c r="M717">
        <v>1</v>
      </c>
      <c r="N717" s="6">
        <v>0</v>
      </c>
      <c r="Q717" s="2" t="s">
        <v>19</v>
      </c>
    </row>
    <row r="718" spans="1:17" ht="68" x14ac:dyDescent="0.2">
      <c r="A718" t="s">
        <v>189</v>
      </c>
      <c r="B718" t="s">
        <v>114</v>
      </c>
      <c r="C718" t="s">
        <v>16</v>
      </c>
      <c r="D718" s="3">
        <v>44312</v>
      </c>
      <c r="E718" s="1">
        <v>44312.50922453704</v>
      </c>
      <c r="F718" t="s">
        <v>17</v>
      </c>
      <c r="G718" t="s">
        <v>44</v>
      </c>
      <c r="H718" s="1">
        <v>44312.375</v>
      </c>
      <c r="I718" s="1">
        <v>44312.510416666664</v>
      </c>
      <c r="J718" s="4">
        <f t="shared" si="11"/>
        <v>0.13541666666424135</v>
      </c>
      <c r="K718" t="s">
        <v>201</v>
      </c>
      <c r="M718">
        <v>3</v>
      </c>
      <c r="N718" s="6">
        <v>0</v>
      </c>
      <c r="Q718" s="2" t="s">
        <v>19</v>
      </c>
    </row>
    <row r="719" spans="1:17" ht="68" x14ac:dyDescent="0.2">
      <c r="A719" t="s">
        <v>189</v>
      </c>
      <c r="B719" t="s">
        <v>114</v>
      </c>
      <c r="C719" t="s">
        <v>16</v>
      </c>
      <c r="D719" s="3">
        <v>44312</v>
      </c>
      <c r="E719" s="1">
        <v>44312.65892361111</v>
      </c>
      <c r="F719" t="s">
        <v>17</v>
      </c>
      <c r="G719" t="s">
        <v>57</v>
      </c>
      <c r="H719" s="1">
        <v>44312.53125</v>
      </c>
      <c r="I719" s="1">
        <v>44312.666666666664</v>
      </c>
      <c r="J719" s="4">
        <f t="shared" si="11"/>
        <v>0.13541666666424135</v>
      </c>
      <c r="K719" t="s">
        <v>195</v>
      </c>
      <c r="M719">
        <v>5</v>
      </c>
      <c r="N719" s="6">
        <v>0</v>
      </c>
      <c r="Q719" s="2" t="s">
        <v>19</v>
      </c>
    </row>
    <row r="720" spans="1:17" ht="68" x14ac:dyDescent="0.2">
      <c r="A720" t="s">
        <v>189</v>
      </c>
      <c r="B720" t="s">
        <v>114</v>
      </c>
      <c r="C720" t="s">
        <v>16</v>
      </c>
      <c r="D720" s="3">
        <v>44313</v>
      </c>
      <c r="E720" s="1">
        <v>44313.487581018519</v>
      </c>
      <c r="F720" t="s">
        <v>17</v>
      </c>
      <c r="G720" t="s">
        <v>55</v>
      </c>
      <c r="H720" s="1">
        <v>44313.375</v>
      </c>
      <c r="I720" s="1">
        <v>44313.489583333336</v>
      </c>
      <c r="J720" s="4">
        <f t="shared" si="11"/>
        <v>0.11458333333575865</v>
      </c>
      <c r="K720" t="s">
        <v>200</v>
      </c>
      <c r="M720">
        <v>2</v>
      </c>
      <c r="N720" s="6">
        <v>0</v>
      </c>
      <c r="Q720" s="2" t="s">
        <v>19</v>
      </c>
    </row>
    <row r="721" spans="1:17" ht="68" x14ac:dyDescent="0.2">
      <c r="A721" t="s">
        <v>189</v>
      </c>
      <c r="B721" t="s">
        <v>114</v>
      </c>
      <c r="C721" t="s">
        <v>16</v>
      </c>
      <c r="D721" s="3">
        <v>44313</v>
      </c>
      <c r="E721" s="1">
        <v>44313.539490740739</v>
      </c>
      <c r="F721" t="s">
        <v>17</v>
      </c>
      <c r="G721" t="s">
        <v>37</v>
      </c>
      <c r="H721" s="1">
        <v>44313.53125</v>
      </c>
      <c r="I721" s="1">
        <v>44313.541666666664</v>
      </c>
      <c r="J721" s="4">
        <f t="shared" si="11"/>
        <v>1.0416666664241347E-2</v>
      </c>
      <c r="K721" t="s">
        <v>202</v>
      </c>
      <c r="M721">
        <v>0</v>
      </c>
      <c r="N721" s="6">
        <v>0</v>
      </c>
      <c r="Q721" s="2" t="s">
        <v>19</v>
      </c>
    </row>
    <row r="722" spans="1:17" ht="68" x14ac:dyDescent="0.2">
      <c r="A722" t="s">
        <v>189</v>
      </c>
      <c r="B722" t="s">
        <v>114</v>
      </c>
      <c r="C722" t="s">
        <v>16</v>
      </c>
      <c r="D722" s="3">
        <v>44313</v>
      </c>
      <c r="E722" s="1">
        <v>44313.664722222224</v>
      </c>
      <c r="F722" t="s">
        <v>17</v>
      </c>
      <c r="G722" t="s">
        <v>58</v>
      </c>
      <c r="H722" s="1">
        <v>44313.541666666664</v>
      </c>
      <c r="I722" s="1">
        <v>44313.666666666664</v>
      </c>
      <c r="J722" s="4">
        <f t="shared" si="11"/>
        <v>0.125</v>
      </c>
      <c r="K722" t="s">
        <v>192</v>
      </c>
      <c r="M722">
        <v>1</v>
      </c>
      <c r="N722" s="6">
        <v>0</v>
      </c>
      <c r="Q722" s="2" t="s">
        <v>19</v>
      </c>
    </row>
    <row r="723" spans="1:17" ht="68" x14ac:dyDescent="0.2">
      <c r="A723" t="s">
        <v>189</v>
      </c>
      <c r="B723" t="s">
        <v>114</v>
      </c>
      <c r="C723" t="s">
        <v>16</v>
      </c>
      <c r="D723" s="3">
        <v>44314</v>
      </c>
      <c r="E723" s="1">
        <v>44314.491898148146</v>
      </c>
      <c r="F723" t="s">
        <v>17</v>
      </c>
      <c r="G723" t="s">
        <v>53</v>
      </c>
      <c r="H723" s="1">
        <v>44314.375</v>
      </c>
      <c r="I723" s="1">
        <v>44314.489583333336</v>
      </c>
      <c r="J723" s="4">
        <f t="shared" si="11"/>
        <v>0.11458333333575865</v>
      </c>
      <c r="K723" t="s">
        <v>203</v>
      </c>
      <c r="M723">
        <v>0</v>
      </c>
      <c r="N723" s="6">
        <v>0</v>
      </c>
      <c r="Q723" s="2" t="s">
        <v>19</v>
      </c>
    </row>
    <row r="724" spans="1:17" ht="68" x14ac:dyDescent="0.2">
      <c r="A724" t="s">
        <v>189</v>
      </c>
      <c r="B724" t="s">
        <v>114</v>
      </c>
      <c r="C724" t="s">
        <v>16</v>
      </c>
      <c r="D724" s="3">
        <v>44314</v>
      </c>
      <c r="E724" s="1">
        <v>44314.497337962966</v>
      </c>
      <c r="F724" t="s">
        <v>17</v>
      </c>
      <c r="G724" t="s">
        <v>53</v>
      </c>
      <c r="H724" s="1">
        <v>44314.375</v>
      </c>
      <c r="I724" s="1">
        <v>44314.489583333336</v>
      </c>
      <c r="J724" s="4">
        <f t="shared" si="11"/>
        <v>0.11458333333575865</v>
      </c>
      <c r="K724" t="s">
        <v>203</v>
      </c>
      <c r="M724">
        <v>0</v>
      </c>
      <c r="N724" s="6">
        <v>0</v>
      </c>
      <c r="Q724" s="2" t="s">
        <v>19</v>
      </c>
    </row>
    <row r="725" spans="1:17" ht="68" x14ac:dyDescent="0.2">
      <c r="A725" t="s">
        <v>189</v>
      </c>
      <c r="B725" t="s">
        <v>114</v>
      </c>
      <c r="C725" t="s">
        <v>16</v>
      </c>
      <c r="D725" s="3">
        <v>44314</v>
      </c>
      <c r="E725" s="1">
        <v>44314.652627314812</v>
      </c>
      <c r="F725" t="s">
        <v>17</v>
      </c>
      <c r="G725" t="s">
        <v>59</v>
      </c>
      <c r="H725" s="1">
        <v>44314.53125</v>
      </c>
      <c r="I725" s="1">
        <v>44314.666666666664</v>
      </c>
      <c r="J725" s="4">
        <f t="shared" si="11"/>
        <v>0.13541666666424135</v>
      </c>
      <c r="K725" t="s">
        <v>195</v>
      </c>
      <c r="M725">
        <v>0</v>
      </c>
      <c r="N725" s="6">
        <v>0</v>
      </c>
      <c r="Q725" s="2" t="s">
        <v>19</v>
      </c>
    </row>
    <row r="726" spans="1:17" ht="68" x14ac:dyDescent="0.2">
      <c r="A726" t="s">
        <v>189</v>
      </c>
      <c r="B726" t="s">
        <v>114</v>
      </c>
      <c r="C726" t="s">
        <v>16</v>
      </c>
      <c r="D726" s="3">
        <v>44315</v>
      </c>
      <c r="E726" s="1">
        <v>44315.484675925924</v>
      </c>
      <c r="F726" t="s">
        <v>17</v>
      </c>
      <c r="G726" t="s">
        <v>43</v>
      </c>
      <c r="H726" s="1">
        <v>44315.375</v>
      </c>
      <c r="I726" s="1">
        <v>44315.489583333336</v>
      </c>
      <c r="J726" s="4">
        <f t="shared" si="11"/>
        <v>0.11458333333575865</v>
      </c>
      <c r="K726" t="s">
        <v>200</v>
      </c>
      <c r="M726">
        <v>2</v>
      </c>
      <c r="N726" s="6">
        <v>0</v>
      </c>
      <c r="Q726" s="2" t="s">
        <v>19</v>
      </c>
    </row>
    <row r="727" spans="1:17" ht="68" x14ac:dyDescent="0.2">
      <c r="A727" t="s">
        <v>189</v>
      </c>
      <c r="B727" t="s">
        <v>114</v>
      </c>
      <c r="C727" t="s">
        <v>16</v>
      </c>
      <c r="D727" s="3">
        <v>44315</v>
      </c>
      <c r="E727" s="1">
        <v>44315.542453703703</v>
      </c>
      <c r="F727" t="s">
        <v>17</v>
      </c>
      <c r="G727" t="s">
        <v>35</v>
      </c>
      <c r="H727" s="1">
        <v>44315.53125</v>
      </c>
      <c r="I727" s="1">
        <v>44315.541666666664</v>
      </c>
      <c r="J727" s="4">
        <f t="shared" si="11"/>
        <v>1.0416666664241347E-2</v>
      </c>
      <c r="K727" t="s">
        <v>202</v>
      </c>
      <c r="M727">
        <v>0</v>
      </c>
      <c r="N727" s="6">
        <v>0</v>
      </c>
      <c r="Q727" s="2" t="s">
        <v>19</v>
      </c>
    </row>
    <row r="728" spans="1:17" ht="68" x14ac:dyDescent="0.2">
      <c r="A728" t="s">
        <v>189</v>
      </c>
      <c r="B728" t="s">
        <v>114</v>
      </c>
      <c r="C728" t="s">
        <v>16</v>
      </c>
      <c r="D728" s="3">
        <v>44315</v>
      </c>
      <c r="E728" s="1">
        <v>44315.628958333335</v>
      </c>
      <c r="F728" t="s">
        <v>17</v>
      </c>
      <c r="G728" t="s">
        <v>60</v>
      </c>
      <c r="H728" s="1">
        <v>44315.541666666664</v>
      </c>
      <c r="I728" s="1">
        <v>44315.666666666664</v>
      </c>
      <c r="J728" s="4">
        <f t="shared" si="11"/>
        <v>0.125</v>
      </c>
      <c r="K728" t="s">
        <v>192</v>
      </c>
      <c r="M728">
        <v>1</v>
      </c>
      <c r="N728" s="6">
        <v>0</v>
      </c>
      <c r="Q728" s="2" t="s">
        <v>19</v>
      </c>
    </row>
    <row r="729" spans="1:17" ht="68" x14ac:dyDescent="0.2">
      <c r="A729" t="s">
        <v>189</v>
      </c>
      <c r="B729" t="s">
        <v>114</v>
      </c>
      <c r="C729" t="s">
        <v>16</v>
      </c>
      <c r="D729" s="3">
        <v>44316</v>
      </c>
      <c r="E729" s="1">
        <v>44316.500879629632</v>
      </c>
      <c r="F729" t="s">
        <v>17</v>
      </c>
      <c r="G729" t="s">
        <v>61</v>
      </c>
      <c r="H729" s="1">
        <v>44316.375</v>
      </c>
      <c r="I729" s="1">
        <v>44316.489583333336</v>
      </c>
      <c r="J729" s="4">
        <f t="shared" si="11"/>
        <v>0.11458333333575865</v>
      </c>
      <c r="K729" t="s">
        <v>204</v>
      </c>
      <c r="M729">
        <v>0</v>
      </c>
      <c r="N729" s="6">
        <v>0</v>
      </c>
      <c r="Q729" s="2" t="s">
        <v>19</v>
      </c>
    </row>
    <row r="730" spans="1:17" ht="68" x14ac:dyDescent="0.2">
      <c r="A730" t="s">
        <v>189</v>
      </c>
      <c r="B730" t="s">
        <v>114</v>
      </c>
      <c r="C730" t="s">
        <v>16</v>
      </c>
      <c r="D730" s="3">
        <v>44316</v>
      </c>
      <c r="E730" s="1">
        <v>44316.616655092592</v>
      </c>
      <c r="F730" t="s">
        <v>17</v>
      </c>
      <c r="G730" t="s">
        <v>62</v>
      </c>
      <c r="H730" s="1">
        <v>44316.510416666664</v>
      </c>
      <c r="I730" s="1">
        <v>44316.65625</v>
      </c>
      <c r="J730" s="4">
        <f t="shared" si="11"/>
        <v>0.14583333333575865</v>
      </c>
      <c r="K730" t="s">
        <v>195</v>
      </c>
      <c r="M730">
        <v>1</v>
      </c>
      <c r="N730" s="6">
        <v>0</v>
      </c>
      <c r="Q730" s="2" t="s">
        <v>19</v>
      </c>
    </row>
    <row r="731" spans="1:17" ht="68" x14ac:dyDescent="0.2">
      <c r="A731" t="s">
        <v>189</v>
      </c>
      <c r="B731" t="s">
        <v>114</v>
      </c>
      <c r="C731" t="s">
        <v>16</v>
      </c>
      <c r="D731" s="3">
        <v>44319</v>
      </c>
      <c r="E731" s="1">
        <v>44319.483842592592</v>
      </c>
      <c r="F731" t="s">
        <v>17</v>
      </c>
      <c r="G731" t="s">
        <v>63</v>
      </c>
      <c r="H731" s="1">
        <v>44319.385416666664</v>
      </c>
      <c r="I731" s="1">
        <v>44319.489583333336</v>
      </c>
      <c r="J731" s="4">
        <f t="shared" si="11"/>
        <v>0.10416666667151731</v>
      </c>
      <c r="K731" t="s">
        <v>199</v>
      </c>
      <c r="M731">
        <v>0</v>
      </c>
      <c r="N731" s="6">
        <v>0</v>
      </c>
      <c r="Q731" s="2" t="s">
        <v>19</v>
      </c>
    </row>
    <row r="732" spans="1:17" ht="68" x14ac:dyDescent="0.2">
      <c r="A732" t="s">
        <v>189</v>
      </c>
      <c r="B732" t="s">
        <v>114</v>
      </c>
      <c r="C732" t="s">
        <v>16</v>
      </c>
      <c r="D732" s="3">
        <v>44319</v>
      </c>
      <c r="E732" s="1">
        <v>44319.654710648145</v>
      </c>
      <c r="F732" t="s">
        <v>17</v>
      </c>
      <c r="G732" t="s">
        <v>45</v>
      </c>
      <c r="H732" s="1">
        <v>44319.53125</v>
      </c>
      <c r="I732" s="1">
        <v>44319.666666666664</v>
      </c>
      <c r="J732" s="4">
        <f t="shared" si="11"/>
        <v>0.13541666666424135</v>
      </c>
      <c r="K732" t="s">
        <v>195</v>
      </c>
      <c r="M732">
        <v>1</v>
      </c>
      <c r="N732" s="6">
        <v>0</v>
      </c>
      <c r="Q732" s="2" t="s">
        <v>19</v>
      </c>
    </row>
    <row r="733" spans="1:17" ht="68" x14ac:dyDescent="0.2">
      <c r="A733" t="s">
        <v>189</v>
      </c>
      <c r="B733" t="s">
        <v>114</v>
      </c>
      <c r="C733" t="s">
        <v>16</v>
      </c>
      <c r="D733" s="3">
        <v>44320</v>
      </c>
      <c r="E733" s="1">
        <v>44320.48710648148</v>
      </c>
      <c r="F733" t="s">
        <v>17</v>
      </c>
      <c r="G733" t="s">
        <v>64</v>
      </c>
      <c r="H733" s="1">
        <v>44320.380555555559</v>
      </c>
      <c r="I733" s="1">
        <v>44320.492361111108</v>
      </c>
      <c r="J733" s="4">
        <f t="shared" si="11"/>
        <v>0.11180555554892635</v>
      </c>
      <c r="K733" t="s">
        <v>205</v>
      </c>
      <c r="M733">
        <v>2</v>
      </c>
      <c r="N733" s="6">
        <v>0</v>
      </c>
      <c r="Q733" s="2" t="s">
        <v>19</v>
      </c>
    </row>
    <row r="734" spans="1:17" ht="68" x14ac:dyDescent="0.2">
      <c r="A734" t="s">
        <v>189</v>
      </c>
      <c r="B734" t="s">
        <v>114</v>
      </c>
      <c r="C734" t="s">
        <v>16</v>
      </c>
      <c r="D734" s="3">
        <v>44321</v>
      </c>
      <c r="E734" s="1">
        <v>44321.406770833331</v>
      </c>
      <c r="F734" t="s">
        <v>17</v>
      </c>
      <c r="G734" t="s">
        <v>36</v>
      </c>
      <c r="H734" s="1">
        <v>44321.395833333336</v>
      </c>
      <c r="I734" s="1">
        <v>44321.489583333336</v>
      </c>
      <c r="J734" s="4">
        <f t="shared" si="11"/>
        <v>9.375E-2</v>
      </c>
      <c r="K734" t="s">
        <v>206</v>
      </c>
      <c r="M734">
        <v>2</v>
      </c>
      <c r="N734" s="6">
        <v>0</v>
      </c>
      <c r="Q734" s="2" t="s">
        <v>19</v>
      </c>
    </row>
    <row r="735" spans="1:17" ht="68" x14ac:dyDescent="0.2">
      <c r="A735" t="s">
        <v>189</v>
      </c>
      <c r="B735" t="s">
        <v>114</v>
      </c>
      <c r="C735" t="s">
        <v>16</v>
      </c>
      <c r="D735" s="3">
        <v>44321</v>
      </c>
      <c r="E735" s="1">
        <v>44321.645509259259</v>
      </c>
      <c r="F735" t="s">
        <v>17</v>
      </c>
      <c r="G735" t="s">
        <v>66</v>
      </c>
      <c r="H735" s="1">
        <v>44321.510416666664</v>
      </c>
      <c r="I735" s="1">
        <v>44321.666666666664</v>
      </c>
      <c r="J735" s="4">
        <f t="shared" si="11"/>
        <v>0.15625</v>
      </c>
      <c r="K735" t="s">
        <v>195</v>
      </c>
      <c r="M735">
        <v>1</v>
      </c>
      <c r="N735" s="6">
        <v>0</v>
      </c>
      <c r="Q735" s="2" t="s">
        <v>19</v>
      </c>
    </row>
    <row r="736" spans="1:17" ht="68" x14ac:dyDescent="0.2">
      <c r="A736" t="s">
        <v>189</v>
      </c>
      <c r="B736" t="s">
        <v>114</v>
      </c>
      <c r="C736" t="s">
        <v>16</v>
      </c>
      <c r="D736" s="3">
        <v>44326</v>
      </c>
      <c r="E736" s="1">
        <v>44326.48951388889</v>
      </c>
      <c r="F736" t="s">
        <v>17</v>
      </c>
      <c r="G736" t="s">
        <v>63</v>
      </c>
      <c r="H736" s="1">
        <v>44326.375</v>
      </c>
      <c r="I736" s="1">
        <v>44326.489583333336</v>
      </c>
      <c r="J736" s="4">
        <f t="shared" si="11"/>
        <v>0.11458333333575865</v>
      </c>
      <c r="K736" t="s">
        <v>199</v>
      </c>
      <c r="M736">
        <v>1</v>
      </c>
      <c r="N736" s="6">
        <v>0</v>
      </c>
      <c r="Q736" s="2" t="s">
        <v>19</v>
      </c>
    </row>
    <row r="737" spans="1:17" ht="68" x14ac:dyDescent="0.2">
      <c r="A737" t="s">
        <v>189</v>
      </c>
      <c r="B737" t="s">
        <v>114</v>
      </c>
      <c r="C737" t="s">
        <v>16</v>
      </c>
      <c r="D737" s="3">
        <v>44326</v>
      </c>
      <c r="E737" s="1">
        <v>44326.648159722223</v>
      </c>
      <c r="F737" t="s">
        <v>17</v>
      </c>
      <c r="G737" t="s">
        <v>59</v>
      </c>
      <c r="H737" s="1">
        <v>44326.53125</v>
      </c>
      <c r="I737" s="1">
        <v>44326.666666666664</v>
      </c>
      <c r="J737" s="4">
        <f t="shared" si="11"/>
        <v>0.13541666666424135</v>
      </c>
      <c r="K737" t="s">
        <v>195</v>
      </c>
      <c r="M737">
        <v>0</v>
      </c>
      <c r="N737" s="6">
        <v>0</v>
      </c>
      <c r="Q737" s="2" t="s">
        <v>19</v>
      </c>
    </row>
    <row r="738" spans="1:17" ht="68" x14ac:dyDescent="0.2">
      <c r="A738" t="s">
        <v>189</v>
      </c>
      <c r="B738" t="s">
        <v>114</v>
      </c>
      <c r="C738" t="s">
        <v>16</v>
      </c>
      <c r="D738" s="3">
        <v>44327</v>
      </c>
      <c r="E738" s="1">
        <v>44327.861261574071</v>
      </c>
      <c r="F738" t="s">
        <v>17</v>
      </c>
      <c r="G738" t="s">
        <v>68</v>
      </c>
      <c r="H738" s="1">
        <v>44327.541666666664</v>
      </c>
      <c r="I738" s="1">
        <v>44327.583333333336</v>
      </c>
      <c r="J738" s="4">
        <f t="shared" si="11"/>
        <v>4.1666666671517305E-2</v>
      </c>
      <c r="K738" t="s">
        <v>192</v>
      </c>
      <c r="M738">
        <v>0</v>
      </c>
      <c r="N738" s="6">
        <v>0</v>
      </c>
      <c r="Q738" s="2" t="s">
        <v>19</v>
      </c>
    </row>
    <row r="739" spans="1:17" ht="68" x14ac:dyDescent="0.2">
      <c r="A739" t="s">
        <v>189</v>
      </c>
      <c r="B739" t="s">
        <v>114</v>
      </c>
      <c r="C739" t="s">
        <v>16</v>
      </c>
      <c r="D739" s="3">
        <v>44328</v>
      </c>
      <c r="E739" s="1">
        <v>44328.656817129631</v>
      </c>
      <c r="F739" t="s">
        <v>17</v>
      </c>
      <c r="G739" t="s">
        <v>45</v>
      </c>
      <c r="H739" s="1">
        <v>44328.53125</v>
      </c>
      <c r="I739" s="1">
        <v>44328.666666666664</v>
      </c>
      <c r="J739" s="4">
        <f t="shared" si="11"/>
        <v>0.13541666666424135</v>
      </c>
      <c r="K739" t="s">
        <v>195</v>
      </c>
      <c r="M739">
        <v>1</v>
      </c>
      <c r="N739" s="6">
        <v>0</v>
      </c>
      <c r="Q739" s="2" t="s">
        <v>19</v>
      </c>
    </row>
    <row r="740" spans="1:17" ht="68" x14ac:dyDescent="0.2">
      <c r="A740" t="s">
        <v>189</v>
      </c>
      <c r="B740" t="s">
        <v>114</v>
      </c>
      <c r="C740" t="s">
        <v>16</v>
      </c>
      <c r="D740" s="3">
        <v>44334</v>
      </c>
      <c r="E740" s="1">
        <v>44334.486620370371</v>
      </c>
      <c r="F740" t="s">
        <v>17</v>
      </c>
      <c r="G740" t="s">
        <v>55</v>
      </c>
      <c r="H740" s="1">
        <v>44334.375</v>
      </c>
      <c r="I740" s="1">
        <v>44334.489583333336</v>
      </c>
      <c r="J740" s="4">
        <f t="shared" si="11"/>
        <v>0.11458333333575865</v>
      </c>
      <c r="K740" t="s">
        <v>200</v>
      </c>
      <c r="M740">
        <v>3</v>
      </c>
      <c r="N740" s="6">
        <v>0</v>
      </c>
      <c r="Q740" s="2" t="s">
        <v>19</v>
      </c>
    </row>
    <row r="741" spans="1:17" ht="68" x14ac:dyDescent="0.2">
      <c r="A741" t="s">
        <v>189</v>
      </c>
      <c r="B741" t="s">
        <v>114</v>
      </c>
      <c r="C741" t="s">
        <v>16</v>
      </c>
      <c r="D741" s="3">
        <v>44334</v>
      </c>
      <c r="E741" s="1">
        <v>44334.668206018519</v>
      </c>
      <c r="F741" t="s">
        <v>17</v>
      </c>
      <c r="G741" t="s">
        <v>69</v>
      </c>
      <c r="H741" s="1">
        <v>44334.541666666664</v>
      </c>
      <c r="I741" s="1">
        <v>44334.666666666664</v>
      </c>
      <c r="J741" s="4">
        <f t="shared" si="11"/>
        <v>0.125</v>
      </c>
      <c r="K741" t="s">
        <v>192</v>
      </c>
      <c r="M741">
        <v>0</v>
      </c>
      <c r="N741" s="6">
        <v>0</v>
      </c>
      <c r="Q741" s="2" t="s">
        <v>19</v>
      </c>
    </row>
    <row r="742" spans="1:17" ht="68" x14ac:dyDescent="0.2">
      <c r="A742" t="s">
        <v>189</v>
      </c>
      <c r="B742" t="s">
        <v>114</v>
      </c>
      <c r="C742" t="s">
        <v>16</v>
      </c>
      <c r="D742" s="3">
        <v>44335</v>
      </c>
      <c r="E742" s="1">
        <v>44335.558819444443</v>
      </c>
      <c r="F742" t="s">
        <v>17</v>
      </c>
      <c r="G742" t="s">
        <v>70</v>
      </c>
      <c r="H742" s="1">
        <v>44335.53125</v>
      </c>
      <c r="I742" s="1">
        <v>44335.65625</v>
      </c>
      <c r="J742" s="4">
        <f t="shared" si="11"/>
        <v>0.125</v>
      </c>
      <c r="K742" t="s">
        <v>200</v>
      </c>
      <c r="M742">
        <v>4</v>
      </c>
      <c r="N742" s="6">
        <v>0</v>
      </c>
      <c r="Q742" s="2" t="s">
        <v>19</v>
      </c>
    </row>
    <row r="743" spans="1:17" ht="68" x14ac:dyDescent="0.2">
      <c r="A743" t="s">
        <v>189</v>
      </c>
      <c r="B743" t="s">
        <v>114</v>
      </c>
      <c r="C743" t="s">
        <v>16</v>
      </c>
      <c r="D743" s="3">
        <v>44336</v>
      </c>
      <c r="E743" s="1">
        <v>44336.488530092596</v>
      </c>
      <c r="F743" t="s">
        <v>17</v>
      </c>
      <c r="G743" t="s">
        <v>52</v>
      </c>
      <c r="H743" s="1">
        <v>44336.375</v>
      </c>
      <c r="I743" s="1">
        <v>44336.489583333336</v>
      </c>
      <c r="J743" s="4">
        <f t="shared" si="11"/>
        <v>0.11458333333575865</v>
      </c>
      <c r="K743" t="s">
        <v>200</v>
      </c>
      <c r="M743">
        <v>1</v>
      </c>
      <c r="N743" s="6">
        <v>0</v>
      </c>
      <c r="Q743" s="2" t="s">
        <v>19</v>
      </c>
    </row>
    <row r="744" spans="1:17" ht="68" x14ac:dyDescent="0.2">
      <c r="A744" t="s">
        <v>189</v>
      </c>
      <c r="B744" t="s">
        <v>114</v>
      </c>
      <c r="C744" t="s">
        <v>16</v>
      </c>
      <c r="D744" s="3">
        <v>44336</v>
      </c>
      <c r="E744" s="1">
        <v>44336.657500000001</v>
      </c>
      <c r="F744" t="s">
        <v>17</v>
      </c>
      <c r="G744" t="s">
        <v>59</v>
      </c>
      <c r="H744" s="1">
        <v>44336.53125</v>
      </c>
      <c r="I744" s="1">
        <v>44336.65625</v>
      </c>
      <c r="J744" s="4">
        <f t="shared" si="11"/>
        <v>0.125</v>
      </c>
      <c r="K744" t="s">
        <v>192</v>
      </c>
      <c r="M744">
        <v>0</v>
      </c>
      <c r="N744" s="6">
        <v>0</v>
      </c>
      <c r="Q744" s="2" t="s">
        <v>19</v>
      </c>
    </row>
    <row r="745" spans="1:17" ht="68" x14ac:dyDescent="0.2">
      <c r="A745" t="s">
        <v>189</v>
      </c>
      <c r="B745" t="s">
        <v>114</v>
      </c>
      <c r="C745" t="s">
        <v>16</v>
      </c>
      <c r="D745" s="3">
        <v>44337</v>
      </c>
      <c r="E745" s="1">
        <v>44337.485567129632</v>
      </c>
      <c r="F745" t="s">
        <v>17</v>
      </c>
      <c r="G745" t="s">
        <v>44</v>
      </c>
      <c r="H745" s="1">
        <v>44337.375</v>
      </c>
      <c r="I745" s="1">
        <v>44337.489583333336</v>
      </c>
      <c r="J745" s="4">
        <f t="shared" si="11"/>
        <v>0.11458333333575865</v>
      </c>
      <c r="K745" t="s">
        <v>199</v>
      </c>
      <c r="M745">
        <v>3</v>
      </c>
      <c r="N745" s="6">
        <v>0</v>
      </c>
      <c r="Q745" s="2" t="s">
        <v>19</v>
      </c>
    </row>
    <row r="746" spans="1:17" ht="68" x14ac:dyDescent="0.2">
      <c r="A746" t="s">
        <v>189</v>
      </c>
      <c r="B746" t="s">
        <v>114</v>
      </c>
      <c r="C746" t="s">
        <v>16</v>
      </c>
      <c r="D746" s="3">
        <v>44338</v>
      </c>
      <c r="E746" s="1">
        <v>44338.493576388886</v>
      </c>
      <c r="F746" t="s">
        <v>17</v>
      </c>
      <c r="G746" t="s">
        <v>47</v>
      </c>
      <c r="H746" s="1">
        <v>44338.375</v>
      </c>
      <c r="I746" s="1">
        <v>44338.489583333336</v>
      </c>
      <c r="J746" s="4">
        <f t="shared" si="11"/>
        <v>0.11458333333575865</v>
      </c>
      <c r="K746" t="s">
        <v>209</v>
      </c>
      <c r="M746">
        <v>0</v>
      </c>
      <c r="N746" s="6">
        <v>0</v>
      </c>
      <c r="Q746" s="2" t="s">
        <v>19</v>
      </c>
    </row>
    <row r="747" spans="1:17" ht="68" x14ac:dyDescent="0.2">
      <c r="A747" t="s">
        <v>189</v>
      </c>
      <c r="B747" t="s">
        <v>114</v>
      </c>
      <c r="C747" t="s">
        <v>16</v>
      </c>
      <c r="D747" s="3">
        <v>44338</v>
      </c>
      <c r="E747" s="1">
        <v>44338.631701388891</v>
      </c>
      <c r="F747" t="s">
        <v>17</v>
      </c>
      <c r="G747" t="s">
        <v>42</v>
      </c>
      <c r="H747" s="1">
        <v>44338.53125</v>
      </c>
      <c r="I747" s="1">
        <v>44338.645833333336</v>
      </c>
      <c r="J747" s="4">
        <f t="shared" si="11"/>
        <v>0.11458333333575865</v>
      </c>
      <c r="K747" t="s">
        <v>210</v>
      </c>
      <c r="M747">
        <v>3</v>
      </c>
      <c r="N747" s="6">
        <v>0</v>
      </c>
      <c r="Q747" s="2" t="s">
        <v>19</v>
      </c>
    </row>
    <row r="748" spans="1:17" ht="68" x14ac:dyDescent="0.2">
      <c r="A748" t="s">
        <v>189</v>
      </c>
      <c r="B748" t="s">
        <v>114</v>
      </c>
      <c r="C748" t="s">
        <v>16</v>
      </c>
      <c r="D748" s="3">
        <v>44340</v>
      </c>
      <c r="E748" s="1">
        <v>44340.498993055553</v>
      </c>
      <c r="F748" t="s">
        <v>17</v>
      </c>
      <c r="G748" t="s">
        <v>71</v>
      </c>
      <c r="H748" s="1">
        <v>44340.375</v>
      </c>
      <c r="I748" s="1">
        <v>44340.489583333336</v>
      </c>
      <c r="J748" s="4">
        <f t="shared" si="11"/>
        <v>0.11458333333575865</v>
      </c>
      <c r="K748" t="s">
        <v>211</v>
      </c>
      <c r="M748">
        <v>0</v>
      </c>
      <c r="N748" s="5" t="s">
        <v>144</v>
      </c>
      <c r="Q748" s="2" t="s">
        <v>19</v>
      </c>
    </row>
    <row r="749" spans="1:17" ht="68" x14ac:dyDescent="0.2">
      <c r="A749" t="s">
        <v>189</v>
      </c>
      <c r="B749" t="s">
        <v>114</v>
      </c>
      <c r="C749" t="s">
        <v>16</v>
      </c>
      <c r="D749" s="3">
        <v>44340</v>
      </c>
      <c r="E749" s="1">
        <v>44340.510787037034</v>
      </c>
      <c r="F749" t="s">
        <v>17</v>
      </c>
      <c r="G749" t="s">
        <v>71</v>
      </c>
      <c r="H749" s="1">
        <v>44340.375</v>
      </c>
      <c r="I749" s="1">
        <v>44340.489583333336</v>
      </c>
      <c r="J749" s="4">
        <f t="shared" si="11"/>
        <v>0.11458333333575865</v>
      </c>
      <c r="K749" t="s">
        <v>211</v>
      </c>
      <c r="M749">
        <v>0</v>
      </c>
      <c r="N749" s="5" t="s">
        <v>144</v>
      </c>
      <c r="Q749" s="2" t="s">
        <v>19</v>
      </c>
    </row>
    <row r="750" spans="1:17" ht="68" x14ac:dyDescent="0.2">
      <c r="A750" t="s">
        <v>189</v>
      </c>
      <c r="B750" t="s">
        <v>114</v>
      </c>
      <c r="C750" t="s">
        <v>16</v>
      </c>
      <c r="D750" s="3">
        <v>44340</v>
      </c>
      <c r="E750" s="1">
        <v>44340.638182870367</v>
      </c>
      <c r="F750" t="s">
        <v>17</v>
      </c>
      <c r="G750" t="s">
        <v>56</v>
      </c>
      <c r="H750" s="1">
        <v>44340.53125</v>
      </c>
      <c r="I750" s="1">
        <v>44340.666666666664</v>
      </c>
      <c r="J750" s="4">
        <f t="shared" si="11"/>
        <v>0.13541666666424135</v>
      </c>
      <c r="K750" t="s">
        <v>200</v>
      </c>
      <c r="M750">
        <v>2</v>
      </c>
      <c r="N750" s="6">
        <v>0</v>
      </c>
      <c r="Q750" s="2" t="s">
        <v>19</v>
      </c>
    </row>
    <row r="751" spans="1:17" ht="68" x14ac:dyDescent="0.2">
      <c r="A751" t="s">
        <v>189</v>
      </c>
      <c r="B751" t="s">
        <v>114</v>
      </c>
      <c r="C751" t="s">
        <v>16</v>
      </c>
      <c r="D751" s="3">
        <v>44341</v>
      </c>
      <c r="E751" s="1">
        <v>44341.422569444447</v>
      </c>
      <c r="F751" t="s">
        <v>17</v>
      </c>
      <c r="G751" t="s">
        <v>55</v>
      </c>
      <c r="H751" s="1">
        <v>44341.383333333331</v>
      </c>
      <c r="I751" s="1">
        <v>44341.404166666667</v>
      </c>
      <c r="J751" s="4">
        <f t="shared" si="11"/>
        <v>2.0833333335758653E-2</v>
      </c>
      <c r="K751" t="s">
        <v>200</v>
      </c>
      <c r="M751">
        <v>1</v>
      </c>
      <c r="N751" s="6">
        <v>0</v>
      </c>
      <c r="Q751" s="2" t="s">
        <v>19</v>
      </c>
    </row>
    <row r="752" spans="1:17" ht="68" x14ac:dyDescent="0.2">
      <c r="A752" t="s">
        <v>189</v>
      </c>
      <c r="B752" t="s">
        <v>114</v>
      </c>
      <c r="C752" t="s">
        <v>16</v>
      </c>
      <c r="D752" s="3">
        <v>44341</v>
      </c>
      <c r="E752" s="1">
        <v>44341.487928240742</v>
      </c>
      <c r="F752" t="s">
        <v>17</v>
      </c>
      <c r="G752" t="s">
        <v>55</v>
      </c>
      <c r="H752" s="1">
        <v>44341.383333333331</v>
      </c>
      <c r="I752" s="1">
        <v>44341.404166666667</v>
      </c>
      <c r="J752" s="4">
        <f t="shared" si="11"/>
        <v>2.0833333335758653E-2</v>
      </c>
      <c r="K752" t="s">
        <v>200</v>
      </c>
      <c r="M752">
        <v>4</v>
      </c>
      <c r="N752" s="6">
        <v>0</v>
      </c>
      <c r="Q752" s="2" t="s">
        <v>19</v>
      </c>
    </row>
    <row r="753" spans="1:17" ht="68" x14ac:dyDescent="0.2">
      <c r="A753" t="s">
        <v>189</v>
      </c>
      <c r="B753" t="s">
        <v>114</v>
      </c>
      <c r="C753" t="s">
        <v>16</v>
      </c>
      <c r="D753" s="3">
        <v>44341</v>
      </c>
      <c r="E753" s="1">
        <v>44341.568495370368</v>
      </c>
      <c r="F753" t="s">
        <v>17</v>
      </c>
      <c r="G753" t="s">
        <v>68</v>
      </c>
      <c r="H753" s="1">
        <v>44341.541666666664</v>
      </c>
      <c r="I753" s="1">
        <v>44341.666666666664</v>
      </c>
      <c r="J753" s="4">
        <f t="shared" si="11"/>
        <v>0.125</v>
      </c>
      <c r="K753" t="s">
        <v>192</v>
      </c>
      <c r="M753">
        <v>1</v>
      </c>
      <c r="N753" s="6">
        <v>0</v>
      </c>
      <c r="Q753" s="2" t="s">
        <v>19</v>
      </c>
    </row>
    <row r="754" spans="1:17" ht="68" x14ac:dyDescent="0.2">
      <c r="A754" t="s">
        <v>189</v>
      </c>
      <c r="B754" t="s">
        <v>114</v>
      </c>
      <c r="C754" t="s">
        <v>16</v>
      </c>
      <c r="D754" s="3">
        <v>44342</v>
      </c>
      <c r="E754" s="1">
        <v>44342.49386574074</v>
      </c>
      <c r="F754" t="s">
        <v>17</v>
      </c>
      <c r="G754" t="s">
        <v>72</v>
      </c>
      <c r="H754" s="1">
        <v>44342.375</v>
      </c>
      <c r="I754" s="1">
        <v>44342.5</v>
      </c>
      <c r="J754" s="4">
        <f t="shared" si="11"/>
        <v>0.125</v>
      </c>
      <c r="K754" t="s">
        <v>212</v>
      </c>
      <c r="M754">
        <v>1</v>
      </c>
      <c r="N754" s="6">
        <v>0</v>
      </c>
      <c r="Q754" s="2" t="s">
        <v>19</v>
      </c>
    </row>
    <row r="755" spans="1:17" ht="68" x14ac:dyDescent="0.2">
      <c r="A755" t="s">
        <v>189</v>
      </c>
      <c r="B755" t="s">
        <v>114</v>
      </c>
      <c r="C755" t="s">
        <v>16</v>
      </c>
      <c r="D755" s="3">
        <v>44342</v>
      </c>
      <c r="E755" s="1">
        <v>44342.571111111109</v>
      </c>
      <c r="F755" t="s">
        <v>17</v>
      </c>
      <c r="G755" t="s">
        <v>35</v>
      </c>
      <c r="H755" s="1">
        <v>44342.53125</v>
      </c>
      <c r="I755" s="1">
        <v>44342.666666666664</v>
      </c>
      <c r="J755" s="4">
        <f t="shared" si="11"/>
        <v>0.13541666666424135</v>
      </c>
      <c r="K755" t="s">
        <v>200</v>
      </c>
      <c r="M755">
        <v>5</v>
      </c>
      <c r="N755" s="6">
        <v>0</v>
      </c>
      <c r="Q755" s="2" t="s">
        <v>19</v>
      </c>
    </row>
    <row r="756" spans="1:17" ht="68" x14ac:dyDescent="0.2">
      <c r="A756" t="s">
        <v>189</v>
      </c>
      <c r="B756" t="s">
        <v>114</v>
      </c>
      <c r="C756" t="s">
        <v>16</v>
      </c>
      <c r="D756" s="3">
        <v>44342</v>
      </c>
      <c r="E756" s="1">
        <v>44342.660613425927</v>
      </c>
      <c r="F756" t="s">
        <v>17</v>
      </c>
      <c r="G756" t="s">
        <v>35</v>
      </c>
      <c r="H756" s="1">
        <v>44342.53125</v>
      </c>
      <c r="I756" s="1">
        <v>44342.666666666664</v>
      </c>
      <c r="J756" s="4">
        <f t="shared" si="11"/>
        <v>0.13541666666424135</v>
      </c>
      <c r="K756" t="s">
        <v>200</v>
      </c>
      <c r="M756">
        <v>3</v>
      </c>
      <c r="N756" s="6">
        <v>0</v>
      </c>
      <c r="Q756" s="2" t="s">
        <v>19</v>
      </c>
    </row>
    <row r="757" spans="1:17" ht="68" x14ac:dyDescent="0.2">
      <c r="A757" t="s">
        <v>189</v>
      </c>
      <c r="B757" t="s">
        <v>114</v>
      </c>
      <c r="C757" t="s">
        <v>16</v>
      </c>
      <c r="D757" s="3">
        <v>44343</v>
      </c>
      <c r="E757" s="1">
        <v>44343.486388888887</v>
      </c>
      <c r="F757" t="s">
        <v>17</v>
      </c>
      <c r="G757" t="s">
        <v>73</v>
      </c>
      <c r="H757" s="1">
        <v>44343.375</v>
      </c>
      <c r="I757" s="1">
        <v>44343.489583333336</v>
      </c>
      <c r="J757" s="4">
        <f t="shared" si="11"/>
        <v>0.11458333333575865</v>
      </c>
      <c r="K757" t="s">
        <v>196</v>
      </c>
      <c r="M757">
        <v>0</v>
      </c>
      <c r="N757" s="5" t="s">
        <v>144</v>
      </c>
      <c r="Q757" s="2" t="s">
        <v>19</v>
      </c>
    </row>
    <row r="758" spans="1:17" ht="68" x14ac:dyDescent="0.2">
      <c r="A758" t="s">
        <v>189</v>
      </c>
      <c r="B758" t="s">
        <v>114</v>
      </c>
      <c r="C758" t="s">
        <v>16</v>
      </c>
      <c r="D758" s="3">
        <v>44344</v>
      </c>
      <c r="E758" s="1">
        <v>44344.488321759258</v>
      </c>
      <c r="F758" t="s">
        <v>17</v>
      </c>
      <c r="G758" t="s">
        <v>53</v>
      </c>
      <c r="H758" s="1">
        <v>44344.375</v>
      </c>
      <c r="I758" s="1">
        <v>44344.489583333336</v>
      </c>
      <c r="J758" s="4">
        <f t="shared" si="11"/>
        <v>0.11458333333575865</v>
      </c>
      <c r="K758" t="s">
        <v>199</v>
      </c>
      <c r="M758">
        <v>2</v>
      </c>
      <c r="N758" s="6">
        <v>0</v>
      </c>
      <c r="Q758" s="2" t="s">
        <v>19</v>
      </c>
    </row>
    <row r="759" spans="1:17" ht="68" x14ac:dyDescent="0.2">
      <c r="A759" t="s">
        <v>189</v>
      </c>
      <c r="B759" t="s">
        <v>114</v>
      </c>
      <c r="C759" t="s">
        <v>16</v>
      </c>
      <c r="D759" s="3">
        <v>44344</v>
      </c>
      <c r="E759" s="1">
        <v>44344.659467592595</v>
      </c>
      <c r="F759" t="s">
        <v>17</v>
      </c>
      <c r="G759" t="s">
        <v>106</v>
      </c>
      <c r="H759" s="1">
        <v>44344.552083333336</v>
      </c>
      <c r="I759" s="1">
        <v>44344.666666666664</v>
      </c>
      <c r="J759" s="4">
        <f t="shared" si="11"/>
        <v>0.11458333332848269</v>
      </c>
      <c r="K759" t="s">
        <v>221</v>
      </c>
      <c r="M759">
        <v>4</v>
      </c>
      <c r="N759" s="6">
        <v>0</v>
      </c>
      <c r="Q759" s="2" t="s">
        <v>19</v>
      </c>
    </row>
    <row r="760" spans="1:17" ht="68" x14ac:dyDescent="0.2">
      <c r="A760" t="s">
        <v>189</v>
      </c>
      <c r="B760" t="s">
        <v>114</v>
      </c>
      <c r="C760" t="s">
        <v>16</v>
      </c>
      <c r="D760" s="3">
        <v>44348</v>
      </c>
      <c r="E760" s="1">
        <v>44348.490868055553</v>
      </c>
      <c r="F760" t="s">
        <v>17</v>
      </c>
      <c r="G760" t="s">
        <v>53</v>
      </c>
      <c r="H760" s="1">
        <v>44348.378472222219</v>
      </c>
      <c r="I760" s="1">
        <v>44348.490972222222</v>
      </c>
      <c r="J760" s="4">
        <f t="shared" si="11"/>
        <v>0.11250000000291038</v>
      </c>
      <c r="K760" t="s">
        <v>213</v>
      </c>
      <c r="M760">
        <v>0</v>
      </c>
      <c r="N760" s="5" t="s">
        <v>144</v>
      </c>
      <c r="Q760" s="2" t="s">
        <v>19</v>
      </c>
    </row>
    <row r="761" spans="1:17" ht="68" x14ac:dyDescent="0.2">
      <c r="A761" t="s">
        <v>189</v>
      </c>
      <c r="B761" t="s">
        <v>114</v>
      </c>
      <c r="C761" t="s">
        <v>16</v>
      </c>
      <c r="D761" s="3">
        <v>44348</v>
      </c>
      <c r="E761" s="1">
        <v>44348.644085648149</v>
      </c>
      <c r="F761" t="s">
        <v>17</v>
      </c>
      <c r="G761" t="s">
        <v>74</v>
      </c>
      <c r="H761" s="1">
        <v>44348.541666666664</v>
      </c>
      <c r="I761" s="1">
        <v>44348.645833333336</v>
      </c>
      <c r="J761" s="4">
        <f t="shared" si="11"/>
        <v>0.10416666667151731</v>
      </c>
      <c r="K761" t="s">
        <v>192</v>
      </c>
      <c r="M761">
        <v>0</v>
      </c>
      <c r="N761" s="6">
        <v>0</v>
      </c>
      <c r="Q761" s="2" t="s">
        <v>19</v>
      </c>
    </row>
    <row r="762" spans="1:17" ht="68" x14ac:dyDescent="0.2">
      <c r="A762" t="s">
        <v>189</v>
      </c>
      <c r="B762" t="s">
        <v>114</v>
      </c>
      <c r="C762" t="s">
        <v>16</v>
      </c>
      <c r="D762" s="3">
        <v>44348</v>
      </c>
      <c r="E762" s="1">
        <v>44348.667430555557</v>
      </c>
      <c r="F762" t="s">
        <v>17</v>
      </c>
      <c r="G762" t="s">
        <v>75</v>
      </c>
      <c r="H762" s="1">
        <v>44348.645833333336</v>
      </c>
      <c r="I762" s="1">
        <v>44348.666666666664</v>
      </c>
      <c r="J762" s="4">
        <f t="shared" si="11"/>
        <v>2.0833333328482695E-2</v>
      </c>
      <c r="K762" t="s">
        <v>214</v>
      </c>
      <c r="M762">
        <v>0</v>
      </c>
      <c r="N762" s="6">
        <v>0</v>
      </c>
      <c r="Q762" s="2" t="s">
        <v>19</v>
      </c>
    </row>
    <row r="763" spans="1:17" ht="68" x14ac:dyDescent="0.2">
      <c r="A763" t="s">
        <v>189</v>
      </c>
      <c r="B763" t="s">
        <v>114</v>
      </c>
      <c r="C763" t="s">
        <v>16</v>
      </c>
      <c r="D763" s="3">
        <v>44349</v>
      </c>
      <c r="E763" s="1">
        <v>44349.668796296297</v>
      </c>
      <c r="F763" t="s">
        <v>17</v>
      </c>
      <c r="G763" t="s">
        <v>37</v>
      </c>
      <c r="H763" s="1">
        <v>44349.53125</v>
      </c>
      <c r="I763" s="1">
        <v>44349.645833333336</v>
      </c>
      <c r="J763" s="4">
        <f t="shared" si="11"/>
        <v>0.11458333333575865</v>
      </c>
      <c r="K763" t="s">
        <v>192</v>
      </c>
      <c r="M763">
        <v>0</v>
      </c>
      <c r="N763" s="6">
        <v>0</v>
      </c>
      <c r="Q763" s="2" t="s">
        <v>19</v>
      </c>
    </row>
    <row r="764" spans="1:17" ht="68" x14ac:dyDescent="0.2">
      <c r="A764" t="s">
        <v>189</v>
      </c>
      <c r="B764" t="s">
        <v>114</v>
      </c>
      <c r="C764" t="s">
        <v>16</v>
      </c>
      <c r="D764" s="3">
        <v>44350</v>
      </c>
      <c r="E764" s="1">
        <v>44350.47</v>
      </c>
      <c r="F764" t="s">
        <v>17</v>
      </c>
      <c r="G764" t="s">
        <v>77</v>
      </c>
      <c r="H764" s="1">
        <v>44350.333333333336</v>
      </c>
      <c r="I764" s="1">
        <v>44350.479166666664</v>
      </c>
      <c r="J764" s="4">
        <f t="shared" si="11"/>
        <v>0.14583333332848269</v>
      </c>
      <c r="K764" t="s">
        <v>191</v>
      </c>
      <c r="M764">
        <v>3</v>
      </c>
      <c r="N764" s="6">
        <v>0</v>
      </c>
      <c r="Q764" s="2" t="s">
        <v>19</v>
      </c>
    </row>
    <row r="765" spans="1:17" ht="68" x14ac:dyDescent="0.2">
      <c r="A765" t="s">
        <v>189</v>
      </c>
      <c r="B765" t="s">
        <v>114</v>
      </c>
      <c r="C765" t="s">
        <v>16</v>
      </c>
      <c r="D765" s="3">
        <v>44351</v>
      </c>
      <c r="E765" s="1">
        <v>44351.488946759258</v>
      </c>
      <c r="F765" t="s">
        <v>17</v>
      </c>
      <c r="G765" t="s">
        <v>63</v>
      </c>
      <c r="H765" s="1">
        <v>44351.375</v>
      </c>
      <c r="I765" s="1">
        <v>44351.489583333336</v>
      </c>
      <c r="J765" s="4">
        <f t="shared" si="11"/>
        <v>0.11458333333575865</v>
      </c>
      <c r="K765" t="s">
        <v>199</v>
      </c>
      <c r="M765">
        <v>0</v>
      </c>
      <c r="N765" s="6">
        <v>0</v>
      </c>
      <c r="Q765" s="2" t="s">
        <v>19</v>
      </c>
    </row>
    <row r="766" spans="1:17" ht="68" x14ac:dyDescent="0.2">
      <c r="A766" t="s">
        <v>189</v>
      </c>
      <c r="B766" t="s">
        <v>114</v>
      </c>
      <c r="C766" t="s">
        <v>16</v>
      </c>
      <c r="D766" s="3">
        <v>44351</v>
      </c>
      <c r="E766" s="1">
        <v>44351.658402777779</v>
      </c>
      <c r="F766" t="s">
        <v>17</v>
      </c>
      <c r="G766" t="s">
        <v>45</v>
      </c>
      <c r="H766" s="1">
        <v>44351.53125</v>
      </c>
      <c r="I766" s="1">
        <v>44351.666666666664</v>
      </c>
      <c r="J766" s="4">
        <f t="shared" si="11"/>
        <v>0.13541666666424135</v>
      </c>
      <c r="K766" t="s">
        <v>195</v>
      </c>
      <c r="M766">
        <v>2</v>
      </c>
      <c r="N766" s="6">
        <v>0</v>
      </c>
      <c r="Q766" s="2" t="s">
        <v>19</v>
      </c>
    </row>
    <row r="767" spans="1:17" ht="68" x14ac:dyDescent="0.2">
      <c r="A767" t="s">
        <v>189</v>
      </c>
      <c r="B767" t="s">
        <v>114</v>
      </c>
      <c r="C767" t="s">
        <v>16</v>
      </c>
      <c r="D767" s="3">
        <v>44354</v>
      </c>
      <c r="E767" s="1">
        <v>44354.489398148151</v>
      </c>
      <c r="F767" t="s">
        <v>17</v>
      </c>
      <c r="G767" t="s">
        <v>78</v>
      </c>
      <c r="H767" s="1">
        <v>44354.375</v>
      </c>
      <c r="I767" s="1">
        <v>44354.489583333336</v>
      </c>
      <c r="J767" s="4">
        <f t="shared" si="11"/>
        <v>0.11458333333575865</v>
      </c>
      <c r="K767" t="s">
        <v>215</v>
      </c>
      <c r="M767">
        <v>0</v>
      </c>
      <c r="N767" s="6">
        <v>0</v>
      </c>
      <c r="Q767" s="2" t="s">
        <v>19</v>
      </c>
    </row>
    <row r="768" spans="1:17" ht="68" x14ac:dyDescent="0.2">
      <c r="A768" t="s">
        <v>189</v>
      </c>
      <c r="B768" t="s">
        <v>114</v>
      </c>
      <c r="C768" t="s">
        <v>16</v>
      </c>
      <c r="D768" s="3">
        <v>44354</v>
      </c>
      <c r="E768" s="1">
        <v>44354.533622685187</v>
      </c>
      <c r="F768" t="s">
        <v>17</v>
      </c>
      <c r="G768" t="s">
        <v>79</v>
      </c>
      <c r="H768" s="1">
        <v>44354.530555555553</v>
      </c>
      <c r="I768" s="1">
        <v>44354.645833333336</v>
      </c>
      <c r="J768" s="4">
        <f t="shared" si="11"/>
        <v>0.11527777778246673</v>
      </c>
      <c r="K768" t="s">
        <v>200</v>
      </c>
      <c r="M768">
        <v>3</v>
      </c>
      <c r="N768" s="6">
        <v>0</v>
      </c>
      <c r="Q768" s="2" t="s">
        <v>19</v>
      </c>
    </row>
    <row r="769" spans="1:17" ht="68" x14ac:dyDescent="0.2">
      <c r="A769" t="s">
        <v>189</v>
      </c>
      <c r="B769" t="s">
        <v>114</v>
      </c>
      <c r="C769" t="s">
        <v>16</v>
      </c>
      <c r="D769" s="3">
        <v>44355</v>
      </c>
      <c r="E769" s="1">
        <v>44355.48777777778</v>
      </c>
      <c r="F769" t="s">
        <v>17</v>
      </c>
      <c r="G769" t="s">
        <v>80</v>
      </c>
      <c r="H769" s="1">
        <v>44355.375</v>
      </c>
      <c r="I769" s="1">
        <v>44355.489583333336</v>
      </c>
      <c r="J769" s="4">
        <f t="shared" si="11"/>
        <v>0.11458333333575865</v>
      </c>
      <c r="K769" t="s">
        <v>216</v>
      </c>
      <c r="M769">
        <v>2</v>
      </c>
      <c r="N769" s="6">
        <v>0</v>
      </c>
      <c r="Q769" s="2" t="s">
        <v>19</v>
      </c>
    </row>
    <row r="770" spans="1:17" ht="68" x14ac:dyDescent="0.2">
      <c r="A770" t="s">
        <v>189</v>
      </c>
      <c r="B770" t="s">
        <v>114</v>
      </c>
      <c r="C770" t="s">
        <v>16</v>
      </c>
      <c r="D770" s="3">
        <v>44355</v>
      </c>
      <c r="E770" s="1">
        <v>44355.565486111111</v>
      </c>
      <c r="F770" t="s">
        <v>17</v>
      </c>
      <c r="G770" t="s">
        <v>48</v>
      </c>
      <c r="H770" s="1">
        <v>44355.541666666664</v>
      </c>
      <c r="I770" s="1">
        <v>44355.666666666664</v>
      </c>
      <c r="J770" s="4">
        <f t="shared" si="11"/>
        <v>0.125</v>
      </c>
      <c r="K770" t="s">
        <v>192</v>
      </c>
      <c r="M770">
        <v>1</v>
      </c>
      <c r="N770" s="6">
        <v>0</v>
      </c>
      <c r="Q770" s="2" t="s">
        <v>19</v>
      </c>
    </row>
    <row r="771" spans="1:17" ht="68" x14ac:dyDescent="0.2">
      <c r="A771" t="s">
        <v>189</v>
      </c>
      <c r="B771" t="s">
        <v>114</v>
      </c>
      <c r="C771" t="s">
        <v>16</v>
      </c>
      <c r="D771" s="3">
        <v>44356</v>
      </c>
      <c r="E771" s="1">
        <v>44356.484895833331</v>
      </c>
      <c r="F771" t="s">
        <v>17</v>
      </c>
      <c r="G771" t="s">
        <v>78</v>
      </c>
      <c r="H771" s="1">
        <v>44356.375</v>
      </c>
      <c r="I771" s="1">
        <v>44356.489583333336</v>
      </c>
      <c r="J771" s="4">
        <f t="shared" ref="J771:J834" si="12">IF($I771="","",$I771-$H771)</f>
        <v>0.11458333333575865</v>
      </c>
      <c r="K771" t="s">
        <v>197</v>
      </c>
      <c r="M771">
        <v>0</v>
      </c>
      <c r="N771" s="6">
        <v>0</v>
      </c>
      <c r="Q771" s="2" t="s">
        <v>19</v>
      </c>
    </row>
    <row r="772" spans="1:17" ht="68" x14ac:dyDescent="0.2">
      <c r="A772" t="s">
        <v>189</v>
      </c>
      <c r="B772" t="s">
        <v>114</v>
      </c>
      <c r="C772" t="s">
        <v>16</v>
      </c>
      <c r="D772" s="3">
        <v>44356</v>
      </c>
      <c r="E772" s="1">
        <v>44356.565416666665</v>
      </c>
      <c r="F772" t="s">
        <v>17</v>
      </c>
      <c r="G772" t="s">
        <v>58</v>
      </c>
      <c r="H772" s="1">
        <v>44356.54791666667</v>
      </c>
      <c r="I772" s="1">
        <v>44356.666666666664</v>
      </c>
      <c r="J772" s="4">
        <f t="shared" si="12"/>
        <v>0.11874999999417923</v>
      </c>
      <c r="K772" t="s">
        <v>200</v>
      </c>
      <c r="M772">
        <v>2</v>
      </c>
      <c r="N772" s="6">
        <v>0</v>
      </c>
      <c r="Q772" s="2" t="s">
        <v>19</v>
      </c>
    </row>
    <row r="773" spans="1:17" ht="68" x14ac:dyDescent="0.2">
      <c r="A773" t="s">
        <v>189</v>
      </c>
      <c r="B773" t="s">
        <v>114</v>
      </c>
      <c r="C773" t="s">
        <v>16</v>
      </c>
      <c r="D773" s="3">
        <v>44358</v>
      </c>
      <c r="E773" s="1">
        <v>44358.489629629628</v>
      </c>
      <c r="F773" t="s">
        <v>17</v>
      </c>
      <c r="G773" t="s">
        <v>53</v>
      </c>
      <c r="H773" s="1">
        <v>44358.375</v>
      </c>
      <c r="I773" s="1">
        <v>44358.489583333336</v>
      </c>
      <c r="J773" s="4">
        <f t="shared" si="12"/>
        <v>0.11458333333575865</v>
      </c>
      <c r="K773" t="s">
        <v>199</v>
      </c>
      <c r="M773">
        <v>5</v>
      </c>
      <c r="N773" s="6">
        <v>0</v>
      </c>
      <c r="Q773" s="2" t="s">
        <v>19</v>
      </c>
    </row>
    <row r="774" spans="1:17" ht="68" x14ac:dyDescent="0.2">
      <c r="A774" t="s">
        <v>189</v>
      </c>
      <c r="B774" t="s">
        <v>114</v>
      </c>
      <c r="C774" t="s">
        <v>16</v>
      </c>
      <c r="D774" s="3">
        <v>44358</v>
      </c>
      <c r="E774" s="1">
        <v>44358.562430555554</v>
      </c>
      <c r="F774" t="s">
        <v>17</v>
      </c>
      <c r="G774" t="s">
        <v>82</v>
      </c>
      <c r="H774" s="1">
        <v>44358.53125</v>
      </c>
      <c r="I774" s="1">
        <v>44358.645833333336</v>
      </c>
      <c r="J774" s="4">
        <f t="shared" si="12"/>
        <v>0.11458333333575865</v>
      </c>
      <c r="K774" t="s">
        <v>200</v>
      </c>
      <c r="M774">
        <v>1</v>
      </c>
      <c r="N774" s="6">
        <v>0</v>
      </c>
      <c r="Q774" s="2" t="s">
        <v>19</v>
      </c>
    </row>
    <row r="775" spans="1:17" ht="68" x14ac:dyDescent="0.2">
      <c r="A775" t="s">
        <v>189</v>
      </c>
      <c r="B775" t="s">
        <v>114</v>
      </c>
      <c r="C775" t="s">
        <v>16</v>
      </c>
      <c r="D775" s="3">
        <v>44358</v>
      </c>
      <c r="E775" s="1">
        <v>44358.614745370367</v>
      </c>
      <c r="F775" t="s">
        <v>17</v>
      </c>
      <c r="G775" t="s">
        <v>82</v>
      </c>
      <c r="H775" s="1">
        <v>44358.53125</v>
      </c>
      <c r="I775" s="1">
        <v>44358.645833333336</v>
      </c>
      <c r="J775" s="4">
        <f t="shared" si="12"/>
        <v>0.11458333333575865</v>
      </c>
      <c r="K775" t="s">
        <v>200</v>
      </c>
      <c r="M775">
        <v>1</v>
      </c>
      <c r="N775" s="6">
        <v>0</v>
      </c>
      <c r="Q775" s="2" t="s">
        <v>19</v>
      </c>
    </row>
    <row r="776" spans="1:17" ht="68" x14ac:dyDescent="0.2">
      <c r="A776" t="s">
        <v>189</v>
      </c>
      <c r="B776" t="s">
        <v>114</v>
      </c>
      <c r="C776" t="s">
        <v>16</v>
      </c>
      <c r="D776" s="3">
        <v>44361</v>
      </c>
      <c r="E776" s="1">
        <v>44361.487337962964</v>
      </c>
      <c r="F776" t="s">
        <v>17</v>
      </c>
      <c r="G776" t="s">
        <v>46</v>
      </c>
      <c r="H776" s="1">
        <v>44361.375</v>
      </c>
      <c r="I776" s="1">
        <v>44361.489583333336</v>
      </c>
      <c r="J776" s="4">
        <f t="shared" si="12"/>
        <v>0.11458333333575865</v>
      </c>
      <c r="K776" t="s">
        <v>199</v>
      </c>
      <c r="M776">
        <v>10</v>
      </c>
      <c r="N776" s="6">
        <v>0</v>
      </c>
      <c r="Q776" s="2" t="s">
        <v>19</v>
      </c>
    </row>
    <row r="777" spans="1:17" ht="68" x14ac:dyDescent="0.2">
      <c r="A777" t="s">
        <v>189</v>
      </c>
      <c r="B777" t="s">
        <v>114</v>
      </c>
      <c r="C777" t="s">
        <v>16</v>
      </c>
      <c r="D777" s="3">
        <v>44361</v>
      </c>
      <c r="E777" s="1">
        <v>44361.560972222222</v>
      </c>
      <c r="F777" t="s">
        <v>17</v>
      </c>
      <c r="G777" t="s">
        <v>35</v>
      </c>
      <c r="H777" s="1">
        <v>44361.537499999999</v>
      </c>
      <c r="I777" s="1">
        <v>44361.645833333336</v>
      </c>
      <c r="J777" s="4">
        <f t="shared" si="12"/>
        <v>0.10833333333721384</v>
      </c>
      <c r="K777" t="s">
        <v>200</v>
      </c>
      <c r="M777">
        <v>0</v>
      </c>
      <c r="N777" s="5" t="s">
        <v>144</v>
      </c>
      <c r="Q777" s="2" t="s">
        <v>19</v>
      </c>
    </row>
    <row r="778" spans="1:17" ht="68" x14ac:dyDescent="0.2">
      <c r="A778" t="s">
        <v>189</v>
      </c>
      <c r="B778" t="s">
        <v>114</v>
      </c>
      <c r="C778" t="s">
        <v>16</v>
      </c>
      <c r="D778" s="3">
        <v>44361</v>
      </c>
      <c r="E778" s="1">
        <v>44361.560983796298</v>
      </c>
      <c r="F778" t="s">
        <v>17</v>
      </c>
      <c r="G778" t="s">
        <v>35</v>
      </c>
      <c r="H778" s="1">
        <v>44361.537499999999</v>
      </c>
      <c r="I778" s="1">
        <v>44361.645833333336</v>
      </c>
      <c r="J778" s="4">
        <f t="shared" si="12"/>
        <v>0.10833333333721384</v>
      </c>
      <c r="K778" t="s">
        <v>200</v>
      </c>
      <c r="M778">
        <v>1</v>
      </c>
      <c r="N778" s="6">
        <v>0</v>
      </c>
      <c r="Q778" s="2" t="s">
        <v>19</v>
      </c>
    </row>
    <row r="779" spans="1:17" ht="68" x14ac:dyDescent="0.2">
      <c r="A779" t="s">
        <v>189</v>
      </c>
      <c r="B779" t="s">
        <v>114</v>
      </c>
      <c r="C779" t="s">
        <v>16</v>
      </c>
      <c r="D779" s="3">
        <v>44361</v>
      </c>
      <c r="E779" s="1">
        <v>44361.630532407406</v>
      </c>
      <c r="F779" t="s">
        <v>17</v>
      </c>
      <c r="G779" t="s">
        <v>35</v>
      </c>
      <c r="H779" s="1">
        <v>44361.537499999999</v>
      </c>
      <c r="I779" s="1">
        <v>44361.645833333336</v>
      </c>
      <c r="J779" s="4">
        <f t="shared" si="12"/>
        <v>0.10833333333721384</v>
      </c>
      <c r="K779" t="s">
        <v>200</v>
      </c>
      <c r="M779">
        <v>4</v>
      </c>
      <c r="N779" s="6">
        <v>0</v>
      </c>
      <c r="Q779" s="2" t="s">
        <v>19</v>
      </c>
    </row>
    <row r="780" spans="1:17" ht="68" x14ac:dyDescent="0.2">
      <c r="A780" t="s">
        <v>189</v>
      </c>
      <c r="B780" t="s">
        <v>114</v>
      </c>
      <c r="C780" t="s">
        <v>16</v>
      </c>
      <c r="D780" s="3">
        <v>44361</v>
      </c>
      <c r="E780" s="1">
        <v>44361.643703703703</v>
      </c>
      <c r="F780" t="s">
        <v>17</v>
      </c>
      <c r="G780" t="s">
        <v>35</v>
      </c>
      <c r="H780" s="1">
        <v>44361.537499999999</v>
      </c>
      <c r="I780" s="1">
        <v>44361.645833333336</v>
      </c>
      <c r="J780" s="4">
        <f t="shared" si="12"/>
        <v>0.10833333333721384</v>
      </c>
      <c r="K780" t="s">
        <v>200</v>
      </c>
      <c r="M780">
        <v>2</v>
      </c>
      <c r="N780" s="6">
        <v>0</v>
      </c>
      <c r="Q780" s="2" t="s">
        <v>19</v>
      </c>
    </row>
    <row r="781" spans="1:17" ht="68" x14ac:dyDescent="0.2">
      <c r="A781" t="s">
        <v>189</v>
      </c>
      <c r="B781" t="s">
        <v>114</v>
      </c>
      <c r="C781" t="s">
        <v>16</v>
      </c>
      <c r="D781" s="3">
        <v>44361</v>
      </c>
      <c r="E781" s="1">
        <v>44361.650706018518</v>
      </c>
      <c r="F781" t="s">
        <v>17</v>
      </c>
      <c r="G781" t="s">
        <v>111</v>
      </c>
      <c r="H781" s="1">
        <v>44361.649305555555</v>
      </c>
      <c r="I781" s="1">
        <v>44361.670138888891</v>
      </c>
      <c r="J781" s="4">
        <f t="shared" si="12"/>
        <v>2.0833333335758653E-2</v>
      </c>
      <c r="K781" t="s">
        <v>220</v>
      </c>
      <c r="M781">
        <v>1</v>
      </c>
      <c r="N781" s="6">
        <v>0</v>
      </c>
      <c r="Q781" s="2" t="s">
        <v>19</v>
      </c>
    </row>
    <row r="782" spans="1:17" ht="68" x14ac:dyDescent="0.2">
      <c r="A782" t="s">
        <v>189</v>
      </c>
      <c r="B782" t="s">
        <v>114</v>
      </c>
      <c r="C782" t="s">
        <v>16</v>
      </c>
      <c r="D782" s="3">
        <v>44363</v>
      </c>
      <c r="E782" s="1">
        <v>44363.664039351854</v>
      </c>
      <c r="F782" t="s">
        <v>17</v>
      </c>
      <c r="G782" t="s">
        <v>79</v>
      </c>
      <c r="H782" s="1">
        <v>44363.53125</v>
      </c>
      <c r="I782" s="1">
        <v>44363.666666666664</v>
      </c>
      <c r="J782" s="4">
        <f t="shared" si="12"/>
        <v>0.13541666666424135</v>
      </c>
      <c r="K782" t="s">
        <v>200</v>
      </c>
      <c r="M782">
        <v>0</v>
      </c>
      <c r="N782" s="6">
        <v>0</v>
      </c>
      <c r="Q782" s="2" t="s">
        <v>19</v>
      </c>
    </row>
    <row r="783" spans="1:17" ht="68" x14ac:dyDescent="0.2">
      <c r="A783" t="s">
        <v>189</v>
      </c>
      <c r="B783" t="s">
        <v>114</v>
      </c>
      <c r="C783" t="s">
        <v>16</v>
      </c>
      <c r="D783" s="3">
        <v>44363</v>
      </c>
      <c r="E783" s="1">
        <v>44363.664548611108</v>
      </c>
      <c r="F783" t="s">
        <v>17</v>
      </c>
      <c r="G783" t="s">
        <v>79</v>
      </c>
      <c r="H783" s="1">
        <v>44363.53125</v>
      </c>
      <c r="I783" s="1">
        <v>44363.666666666664</v>
      </c>
      <c r="J783" s="4">
        <f t="shared" si="12"/>
        <v>0.13541666666424135</v>
      </c>
      <c r="K783" t="s">
        <v>200</v>
      </c>
      <c r="M783">
        <v>1</v>
      </c>
      <c r="N783" s="6">
        <v>0</v>
      </c>
      <c r="Q783" s="2" t="s">
        <v>19</v>
      </c>
    </row>
    <row r="784" spans="1:17" ht="68" x14ac:dyDescent="0.2">
      <c r="A784" t="s">
        <v>189</v>
      </c>
      <c r="B784" t="s">
        <v>114</v>
      </c>
      <c r="C784" t="s">
        <v>16</v>
      </c>
      <c r="D784" s="3">
        <v>44364</v>
      </c>
      <c r="E784" s="1">
        <v>44364.491759259261</v>
      </c>
      <c r="F784" t="s">
        <v>17</v>
      </c>
      <c r="G784" t="s">
        <v>77</v>
      </c>
      <c r="H784" s="1">
        <v>44364.333333333336</v>
      </c>
      <c r="I784" s="1">
        <v>44364.479166666664</v>
      </c>
      <c r="J784" s="4">
        <f t="shared" si="12"/>
        <v>0.14583333332848269</v>
      </c>
      <c r="K784" t="s">
        <v>217</v>
      </c>
      <c r="M784">
        <v>0</v>
      </c>
      <c r="N784" s="6">
        <v>0</v>
      </c>
      <c r="Q784" s="2" t="s">
        <v>19</v>
      </c>
    </row>
    <row r="785" spans="1:17" ht="68" x14ac:dyDescent="0.2">
      <c r="A785" t="s">
        <v>189</v>
      </c>
      <c r="B785" t="s">
        <v>114</v>
      </c>
      <c r="C785" t="s">
        <v>16</v>
      </c>
      <c r="D785" s="3">
        <v>44365</v>
      </c>
      <c r="E785" s="1">
        <v>44365.490590277775</v>
      </c>
      <c r="F785" t="s">
        <v>17</v>
      </c>
      <c r="G785" t="s">
        <v>64</v>
      </c>
      <c r="H785" s="1">
        <v>44365.375</v>
      </c>
      <c r="I785" s="1">
        <v>44365.489583333336</v>
      </c>
      <c r="J785" s="4">
        <f t="shared" si="12"/>
        <v>0.11458333333575865</v>
      </c>
      <c r="K785" t="s">
        <v>218</v>
      </c>
      <c r="M785">
        <v>0</v>
      </c>
      <c r="N785" s="6">
        <v>0</v>
      </c>
      <c r="Q785" s="2" t="s">
        <v>19</v>
      </c>
    </row>
    <row r="786" spans="1:17" ht="68" x14ac:dyDescent="0.2">
      <c r="A786" t="s">
        <v>189</v>
      </c>
      <c r="B786" t="s">
        <v>114</v>
      </c>
      <c r="C786" t="s">
        <v>16</v>
      </c>
      <c r="D786" s="3">
        <v>44365</v>
      </c>
      <c r="E786" s="1">
        <v>44365.658541666664</v>
      </c>
      <c r="F786" t="s">
        <v>17</v>
      </c>
      <c r="G786" t="s">
        <v>83</v>
      </c>
      <c r="H786" s="1">
        <v>44365.53125</v>
      </c>
      <c r="I786" s="1">
        <v>44365.666666666664</v>
      </c>
      <c r="J786" s="4">
        <f t="shared" si="12"/>
        <v>0.13541666666424135</v>
      </c>
      <c r="K786" t="s">
        <v>217</v>
      </c>
      <c r="M786">
        <v>3</v>
      </c>
      <c r="N786" s="6">
        <v>0</v>
      </c>
      <c r="Q786" s="2" t="s">
        <v>19</v>
      </c>
    </row>
    <row r="787" spans="1:17" ht="68" x14ac:dyDescent="0.2">
      <c r="A787" t="s">
        <v>189</v>
      </c>
      <c r="B787" t="s">
        <v>114</v>
      </c>
      <c r="C787" t="s">
        <v>16</v>
      </c>
      <c r="D787" s="3">
        <v>44375</v>
      </c>
      <c r="E787" s="1">
        <v>44375.669456018521</v>
      </c>
      <c r="F787" t="s">
        <v>17</v>
      </c>
      <c r="G787" t="s">
        <v>84</v>
      </c>
      <c r="H787" s="1">
        <v>44375.539583333331</v>
      </c>
      <c r="I787" s="1">
        <v>44375.669444444444</v>
      </c>
      <c r="J787" s="4">
        <f t="shared" si="12"/>
        <v>0.12986111111240461</v>
      </c>
      <c r="K787" t="s">
        <v>213</v>
      </c>
      <c r="M787">
        <v>0</v>
      </c>
      <c r="N787" s="5" t="s">
        <v>144</v>
      </c>
      <c r="Q787" s="2" t="s">
        <v>19</v>
      </c>
    </row>
    <row r="788" spans="1:17" ht="68" x14ac:dyDescent="0.2">
      <c r="A788" t="s">
        <v>189</v>
      </c>
      <c r="B788" t="s">
        <v>115</v>
      </c>
      <c r="C788" t="s">
        <v>16</v>
      </c>
      <c r="D788" s="3">
        <v>44259</v>
      </c>
      <c r="E788" s="1">
        <v>44259.473321759258</v>
      </c>
      <c r="F788" t="s">
        <v>17</v>
      </c>
      <c r="G788" t="s">
        <v>24</v>
      </c>
      <c r="H788" s="1">
        <v>44259.354166666664</v>
      </c>
      <c r="I788" s="1">
        <v>44259.479166666664</v>
      </c>
      <c r="J788" s="4">
        <f t="shared" si="12"/>
        <v>0.125</v>
      </c>
      <c r="K788" t="s">
        <v>191</v>
      </c>
      <c r="M788">
        <v>0</v>
      </c>
      <c r="N788" s="6">
        <v>0</v>
      </c>
      <c r="Q788" s="2" t="s">
        <v>19</v>
      </c>
    </row>
    <row r="789" spans="1:17" ht="68" x14ac:dyDescent="0.2">
      <c r="A789" t="s">
        <v>189</v>
      </c>
      <c r="B789" t="s">
        <v>115</v>
      </c>
      <c r="C789" t="s">
        <v>16</v>
      </c>
      <c r="D789" s="3">
        <v>44259</v>
      </c>
      <c r="E789" s="1">
        <v>44259.570694444446</v>
      </c>
      <c r="F789" t="s">
        <v>17</v>
      </c>
      <c r="G789" t="s">
        <v>25</v>
      </c>
      <c r="H789" s="1">
        <v>44259.5625</v>
      </c>
      <c r="I789" s="1">
        <v>44259.625</v>
      </c>
      <c r="J789" s="4">
        <f t="shared" si="12"/>
        <v>6.25E-2</v>
      </c>
      <c r="K789" t="s">
        <v>192</v>
      </c>
      <c r="M789">
        <v>27</v>
      </c>
      <c r="N789" s="6">
        <v>0</v>
      </c>
      <c r="Q789" s="2" t="s">
        <v>19</v>
      </c>
    </row>
    <row r="790" spans="1:17" ht="255" x14ac:dyDescent="0.2">
      <c r="A790" t="s">
        <v>189</v>
      </c>
      <c r="B790" t="s">
        <v>115</v>
      </c>
      <c r="C790" t="s">
        <v>16</v>
      </c>
      <c r="D790" s="3">
        <v>44260</v>
      </c>
      <c r="E790" s="1">
        <v>44260.375138888892</v>
      </c>
      <c r="F790" t="s">
        <v>17</v>
      </c>
      <c r="G790" t="s">
        <v>31</v>
      </c>
      <c r="H790" s="1">
        <v>44260.354166666664</v>
      </c>
      <c r="I790" s="1">
        <v>44260.479166666664</v>
      </c>
      <c r="J790" s="4">
        <f t="shared" si="12"/>
        <v>0.125</v>
      </c>
      <c r="K790" t="s">
        <v>190</v>
      </c>
      <c r="M790">
        <v>3</v>
      </c>
      <c r="N790" s="6">
        <v>0</v>
      </c>
      <c r="O790" t="s">
        <v>93</v>
      </c>
      <c r="P790" t="s">
        <v>86</v>
      </c>
      <c r="Q790" s="2" t="s">
        <v>116</v>
      </c>
    </row>
    <row r="791" spans="1:17" ht="221" x14ac:dyDescent="0.2">
      <c r="A791" t="s">
        <v>189</v>
      </c>
      <c r="B791" t="s">
        <v>115</v>
      </c>
      <c r="C791" t="s">
        <v>16</v>
      </c>
      <c r="D791" s="3">
        <v>44260</v>
      </c>
      <c r="E791" s="1">
        <v>44260.376793981479</v>
      </c>
      <c r="F791" t="s">
        <v>17</v>
      </c>
      <c r="G791" t="s">
        <v>31</v>
      </c>
      <c r="H791" s="1">
        <v>44260.354166666664</v>
      </c>
      <c r="I791" s="1">
        <v>44260.479166666664</v>
      </c>
      <c r="J791" s="4">
        <f t="shared" si="12"/>
        <v>0.125</v>
      </c>
      <c r="K791" t="s">
        <v>190</v>
      </c>
      <c r="M791">
        <v>3</v>
      </c>
      <c r="N791" s="6">
        <v>0</v>
      </c>
      <c r="O791" t="s">
        <v>93</v>
      </c>
      <c r="P791" t="s">
        <v>86</v>
      </c>
      <c r="Q791" s="2" t="s">
        <v>117</v>
      </c>
    </row>
    <row r="792" spans="1:17" ht="68" x14ac:dyDescent="0.2">
      <c r="A792" t="s">
        <v>189</v>
      </c>
      <c r="B792" t="s">
        <v>115</v>
      </c>
      <c r="C792" t="s">
        <v>16</v>
      </c>
      <c r="D792" s="3">
        <v>44260</v>
      </c>
      <c r="E792" s="1">
        <v>44260.391157407408</v>
      </c>
      <c r="F792" t="s">
        <v>17</v>
      </c>
      <c r="G792" t="s">
        <v>31</v>
      </c>
      <c r="H792" s="1">
        <v>44260.354166666664</v>
      </c>
      <c r="I792" s="1">
        <v>44260.479166666664</v>
      </c>
      <c r="J792" s="4">
        <f t="shared" si="12"/>
        <v>0.125</v>
      </c>
      <c r="K792" t="s">
        <v>190</v>
      </c>
      <c r="M792">
        <v>2</v>
      </c>
      <c r="N792" s="6">
        <v>0</v>
      </c>
      <c r="O792" t="s">
        <v>102</v>
      </c>
      <c r="P792" t="s">
        <v>86</v>
      </c>
      <c r="Q792" s="2" t="s">
        <v>19</v>
      </c>
    </row>
    <row r="793" spans="1:17" ht="68" x14ac:dyDescent="0.2">
      <c r="A793" t="s">
        <v>189</v>
      </c>
      <c r="B793" t="s">
        <v>115</v>
      </c>
      <c r="C793" t="s">
        <v>16</v>
      </c>
      <c r="D793" s="3">
        <v>44260</v>
      </c>
      <c r="E793" s="1">
        <v>44260.391458333332</v>
      </c>
      <c r="F793" t="s">
        <v>17</v>
      </c>
      <c r="G793" t="s">
        <v>31</v>
      </c>
      <c r="H793" s="1">
        <v>44260.354166666664</v>
      </c>
      <c r="I793" s="1">
        <v>44260.479166666664</v>
      </c>
      <c r="J793" s="4">
        <f t="shared" si="12"/>
        <v>0.125</v>
      </c>
      <c r="K793" t="s">
        <v>190</v>
      </c>
      <c r="M793">
        <v>1</v>
      </c>
      <c r="N793" s="6">
        <v>0</v>
      </c>
      <c r="O793" t="s">
        <v>88</v>
      </c>
      <c r="P793" t="s">
        <v>86</v>
      </c>
      <c r="Q793" s="2" t="s">
        <v>19</v>
      </c>
    </row>
    <row r="794" spans="1:17" ht="153" x14ac:dyDescent="0.2">
      <c r="A794" t="s">
        <v>189</v>
      </c>
      <c r="B794" t="s">
        <v>115</v>
      </c>
      <c r="C794" t="s">
        <v>16</v>
      </c>
      <c r="D794" s="3">
        <v>44260</v>
      </c>
      <c r="E794" s="1">
        <v>44260.393831018519</v>
      </c>
      <c r="F794" t="s">
        <v>17</v>
      </c>
      <c r="G794" t="s">
        <v>31</v>
      </c>
      <c r="H794" s="1">
        <v>44260.354166666664</v>
      </c>
      <c r="I794" s="1">
        <v>44260.479166666664</v>
      </c>
      <c r="J794" s="4">
        <f t="shared" si="12"/>
        <v>0.125</v>
      </c>
      <c r="K794" t="s">
        <v>190</v>
      </c>
      <c r="M794">
        <v>2</v>
      </c>
      <c r="N794" s="6">
        <v>0</v>
      </c>
      <c r="O794" t="s">
        <v>118</v>
      </c>
      <c r="P794" t="s">
        <v>86</v>
      </c>
      <c r="Q794" s="2" t="s">
        <v>119</v>
      </c>
    </row>
    <row r="795" spans="1:17" ht="272" x14ac:dyDescent="0.2">
      <c r="A795" t="s">
        <v>189</v>
      </c>
      <c r="B795" t="s">
        <v>115</v>
      </c>
      <c r="C795" t="s">
        <v>16</v>
      </c>
      <c r="D795" s="3">
        <v>44260</v>
      </c>
      <c r="E795" s="1">
        <v>44260.398692129631</v>
      </c>
      <c r="F795" t="s">
        <v>17</v>
      </c>
      <c r="G795" t="s">
        <v>31</v>
      </c>
      <c r="H795" s="1">
        <v>44260.354166666664</v>
      </c>
      <c r="I795" s="1">
        <v>44260.479166666664</v>
      </c>
      <c r="J795" s="4">
        <f t="shared" si="12"/>
        <v>0.125</v>
      </c>
      <c r="K795" t="s">
        <v>190</v>
      </c>
      <c r="M795">
        <v>2</v>
      </c>
      <c r="N795" s="6">
        <v>0</v>
      </c>
      <c r="O795" t="s">
        <v>118</v>
      </c>
      <c r="P795" t="s">
        <v>86</v>
      </c>
      <c r="Q795" s="2" t="s">
        <v>120</v>
      </c>
    </row>
    <row r="796" spans="1:17" ht="68" x14ac:dyDescent="0.2">
      <c r="A796" t="s">
        <v>189</v>
      </c>
      <c r="B796" t="s">
        <v>115</v>
      </c>
      <c r="C796" t="s">
        <v>16</v>
      </c>
      <c r="D796" s="3">
        <v>44260</v>
      </c>
      <c r="E796" s="1">
        <v>44260.407962962963</v>
      </c>
      <c r="F796" t="s">
        <v>17</v>
      </c>
      <c r="G796" t="s">
        <v>31</v>
      </c>
      <c r="H796" s="1">
        <v>44260.354166666664</v>
      </c>
      <c r="I796" s="1">
        <v>44260.479166666664</v>
      </c>
      <c r="J796" s="4">
        <f t="shared" si="12"/>
        <v>0.125</v>
      </c>
      <c r="K796" t="s">
        <v>190</v>
      </c>
      <c r="M796">
        <v>3</v>
      </c>
      <c r="N796" s="6">
        <v>0</v>
      </c>
      <c r="O796" t="s">
        <v>88</v>
      </c>
      <c r="P796" t="s">
        <v>86</v>
      </c>
      <c r="Q796" s="2" t="s">
        <v>19</v>
      </c>
    </row>
    <row r="797" spans="1:17" ht="68" x14ac:dyDescent="0.2">
      <c r="A797" t="s">
        <v>189</v>
      </c>
      <c r="B797" t="s">
        <v>115</v>
      </c>
      <c r="C797" t="s">
        <v>16</v>
      </c>
      <c r="D797" s="3">
        <v>44260</v>
      </c>
      <c r="E797" s="1">
        <v>44260.413252314815</v>
      </c>
      <c r="F797" t="s">
        <v>17</v>
      </c>
      <c r="G797" t="s">
        <v>31</v>
      </c>
      <c r="H797" s="1">
        <v>44260.354166666664</v>
      </c>
      <c r="I797" s="1">
        <v>44260.479166666664</v>
      </c>
      <c r="J797" s="4">
        <f t="shared" si="12"/>
        <v>0.125</v>
      </c>
      <c r="K797" t="s">
        <v>190</v>
      </c>
      <c r="M797">
        <v>3</v>
      </c>
      <c r="N797" s="6">
        <v>0</v>
      </c>
      <c r="O797" t="s">
        <v>93</v>
      </c>
      <c r="Q797" s="2" t="s">
        <v>19</v>
      </c>
    </row>
    <row r="798" spans="1:17" ht="68" x14ac:dyDescent="0.2">
      <c r="A798" t="s">
        <v>189</v>
      </c>
      <c r="B798" t="s">
        <v>115</v>
      </c>
      <c r="C798" t="s">
        <v>16</v>
      </c>
      <c r="D798" s="3">
        <v>44260</v>
      </c>
      <c r="E798" s="1">
        <v>44260.413425925923</v>
      </c>
      <c r="F798" t="s">
        <v>17</v>
      </c>
      <c r="G798" t="s">
        <v>31</v>
      </c>
      <c r="H798" s="1">
        <v>44260.354166666664</v>
      </c>
      <c r="I798" s="1">
        <v>44260.479166666664</v>
      </c>
      <c r="J798" s="4">
        <f t="shared" si="12"/>
        <v>0.125</v>
      </c>
      <c r="K798" t="s">
        <v>190</v>
      </c>
      <c r="M798">
        <v>4</v>
      </c>
      <c r="N798" s="6">
        <v>0</v>
      </c>
      <c r="O798" t="s">
        <v>102</v>
      </c>
      <c r="P798" t="s">
        <v>89</v>
      </c>
      <c r="Q798" s="2" t="s">
        <v>19</v>
      </c>
    </row>
    <row r="799" spans="1:17" ht="68" x14ac:dyDescent="0.2">
      <c r="A799" t="s">
        <v>189</v>
      </c>
      <c r="B799" t="s">
        <v>115</v>
      </c>
      <c r="C799" t="s">
        <v>16</v>
      </c>
      <c r="D799" s="3">
        <v>44260</v>
      </c>
      <c r="E799" s="1">
        <v>44260.414375</v>
      </c>
      <c r="F799" t="s">
        <v>17</v>
      </c>
      <c r="G799" t="s">
        <v>31</v>
      </c>
      <c r="H799" s="1">
        <v>44260.354166666664</v>
      </c>
      <c r="I799" s="1">
        <v>44260.479166666664</v>
      </c>
      <c r="J799" s="4">
        <f t="shared" si="12"/>
        <v>0.125</v>
      </c>
      <c r="K799" t="s">
        <v>190</v>
      </c>
      <c r="M799">
        <v>2</v>
      </c>
      <c r="N799" s="6">
        <v>0</v>
      </c>
      <c r="O799" t="s">
        <v>102</v>
      </c>
      <c r="P799" t="s">
        <v>89</v>
      </c>
      <c r="Q799" s="2" t="s">
        <v>19</v>
      </c>
    </row>
    <row r="800" spans="1:17" ht="68" x14ac:dyDescent="0.2">
      <c r="A800" t="s">
        <v>189</v>
      </c>
      <c r="B800" t="s">
        <v>115</v>
      </c>
      <c r="C800" t="s">
        <v>16</v>
      </c>
      <c r="D800" s="3">
        <v>44260</v>
      </c>
      <c r="E800" s="1">
        <v>44260.417916666665</v>
      </c>
      <c r="F800" t="s">
        <v>17</v>
      </c>
      <c r="G800" t="s">
        <v>31</v>
      </c>
      <c r="H800" s="1">
        <v>44260.354166666664</v>
      </c>
      <c r="I800" s="1">
        <v>44260.479166666664</v>
      </c>
      <c r="J800" s="4">
        <f t="shared" si="12"/>
        <v>0.125</v>
      </c>
      <c r="K800" t="s">
        <v>190</v>
      </c>
      <c r="M800">
        <v>3</v>
      </c>
      <c r="N800" s="6">
        <v>0</v>
      </c>
      <c r="O800" t="s">
        <v>93</v>
      </c>
      <c r="P800" t="s">
        <v>86</v>
      </c>
      <c r="Q800" s="2" t="s">
        <v>19</v>
      </c>
    </row>
    <row r="801" spans="1:17" ht="68" x14ac:dyDescent="0.2">
      <c r="A801" t="s">
        <v>189</v>
      </c>
      <c r="B801" t="s">
        <v>115</v>
      </c>
      <c r="C801" t="s">
        <v>16</v>
      </c>
      <c r="D801" s="3">
        <v>44260</v>
      </c>
      <c r="E801" s="1">
        <v>44260.418738425928</v>
      </c>
      <c r="F801" t="s">
        <v>17</v>
      </c>
      <c r="G801" t="s">
        <v>31</v>
      </c>
      <c r="H801" s="1">
        <v>44260.354166666664</v>
      </c>
      <c r="I801" s="1">
        <v>44260.479166666664</v>
      </c>
      <c r="J801" s="4">
        <f t="shared" si="12"/>
        <v>0.125</v>
      </c>
      <c r="K801" t="s">
        <v>190</v>
      </c>
      <c r="M801">
        <v>3</v>
      </c>
      <c r="N801" s="6">
        <v>0</v>
      </c>
      <c r="O801" t="s">
        <v>102</v>
      </c>
      <c r="P801" t="s">
        <v>89</v>
      </c>
      <c r="Q801" s="2" t="s">
        <v>19</v>
      </c>
    </row>
    <row r="802" spans="1:17" ht="272" x14ac:dyDescent="0.2">
      <c r="A802" t="s">
        <v>189</v>
      </c>
      <c r="B802" t="s">
        <v>115</v>
      </c>
      <c r="C802" t="s">
        <v>16</v>
      </c>
      <c r="D802" s="3">
        <v>44260</v>
      </c>
      <c r="E802" s="1">
        <v>44260.454791666663</v>
      </c>
      <c r="F802" t="s">
        <v>17</v>
      </c>
      <c r="G802" t="s">
        <v>31</v>
      </c>
      <c r="H802" s="1">
        <v>44260.354166666664</v>
      </c>
      <c r="I802" s="1">
        <v>44260.479166666664</v>
      </c>
      <c r="J802" s="4">
        <f t="shared" si="12"/>
        <v>0.125</v>
      </c>
      <c r="K802" t="s">
        <v>190</v>
      </c>
      <c r="M802">
        <v>13</v>
      </c>
      <c r="N802" s="6">
        <v>0</v>
      </c>
      <c r="O802" t="s">
        <v>103</v>
      </c>
      <c r="P802" t="s">
        <v>89</v>
      </c>
      <c r="Q802" s="2" t="s">
        <v>121</v>
      </c>
    </row>
    <row r="803" spans="1:17" ht="68" x14ac:dyDescent="0.2">
      <c r="A803" t="s">
        <v>189</v>
      </c>
      <c r="B803" t="s">
        <v>115</v>
      </c>
      <c r="C803" t="s">
        <v>16</v>
      </c>
      <c r="D803" s="3">
        <v>44260</v>
      </c>
      <c r="E803" s="1">
        <v>44260.454942129632</v>
      </c>
      <c r="F803" t="s">
        <v>17</v>
      </c>
      <c r="G803" t="s">
        <v>31</v>
      </c>
      <c r="H803" s="1">
        <v>44260.354166666664</v>
      </c>
      <c r="I803" s="1">
        <v>44260.479166666664</v>
      </c>
      <c r="J803" s="4">
        <f t="shared" si="12"/>
        <v>0.125</v>
      </c>
      <c r="K803" t="s">
        <v>190</v>
      </c>
      <c r="M803">
        <v>2</v>
      </c>
      <c r="N803" s="6">
        <v>0</v>
      </c>
      <c r="O803" t="s">
        <v>88</v>
      </c>
      <c r="P803" t="s">
        <v>86</v>
      </c>
      <c r="Q803" s="2" t="s">
        <v>19</v>
      </c>
    </row>
    <row r="804" spans="1:17" ht="68" x14ac:dyDescent="0.2">
      <c r="A804" t="s">
        <v>189</v>
      </c>
      <c r="B804" t="s">
        <v>115</v>
      </c>
      <c r="C804" t="s">
        <v>16</v>
      </c>
      <c r="D804" s="3">
        <v>44260</v>
      </c>
      <c r="E804" s="1">
        <v>44260.456099537034</v>
      </c>
      <c r="F804" t="s">
        <v>17</v>
      </c>
      <c r="G804" t="s">
        <v>31</v>
      </c>
      <c r="H804" s="1">
        <v>44260.354166666664</v>
      </c>
      <c r="I804" s="1">
        <v>44260.479166666664</v>
      </c>
      <c r="J804" s="4">
        <f t="shared" si="12"/>
        <v>0.125</v>
      </c>
      <c r="K804" t="s">
        <v>190</v>
      </c>
      <c r="M804">
        <v>5</v>
      </c>
      <c r="N804" s="6">
        <v>0</v>
      </c>
      <c r="O804" t="s">
        <v>103</v>
      </c>
      <c r="P804" t="s">
        <v>89</v>
      </c>
      <c r="Q804" s="2" t="s">
        <v>19</v>
      </c>
    </row>
    <row r="805" spans="1:17" ht="68" x14ac:dyDescent="0.2">
      <c r="A805" t="s">
        <v>189</v>
      </c>
      <c r="B805" t="s">
        <v>115</v>
      </c>
      <c r="C805" t="s">
        <v>16</v>
      </c>
      <c r="D805" s="3">
        <v>44260</v>
      </c>
      <c r="E805" s="1">
        <v>44260.456388888888</v>
      </c>
      <c r="F805" t="s">
        <v>17</v>
      </c>
      <c r="G805" t="s">
        <v>31</v>
      </c>
      <c r="H805" s="1">
        <v>44260.354166666664</v>
      </c>
      <c r="I805" s="1">
        <v>44260.479166666664</v>
      </c>
      <c r="J805" s="4">
        <f t="shared" si="12"/>
        <v>0.125</v>
      </c>
      <c r="K805" t="s">
        <v>190</v>
      </c>
      <c r="M805">
        <v>3</v>
      </c>
      <c r="N805" s="6">
        <v>0</v>
      </c>
      <c r="O805" t="s">
        <v>103</v>
      </c>
      <c r="P805" t="s">
        <v>86</v>
      </c>
      <c r="Q805" s="2" t="s">
        <v>19</v>
      </c>
    </row>
    <row r="806" spans="1:17" ht="68" x14ac:dyDescent="0.2">
      <c r="A806" t="s">
        <v>189</v>
      </c>
      <c r="B806" t="s">
        <v>115</v>
      </c>
      <c r="C806" t="s">
        <v>16</v>
      </c>
      <c r="D806" s="3">
        <v>44260</v>
      </c>
      <c r="E806" s="1">
        <v>44260.467314814814</v>
      </c>
      <c r="F806" t="s">
        <v>17</v>
      </c>
      <c r="G806" t="s">
        <v>31</v>
      </c>
      <c r="H806" s="1">
        <v>44260.354166666664</v>
      </c>
      <c r="I806" s="1">
        <v>44260.479166666664</v>
      </c>
      <c r="J806" s="4">
        <f t="shared" si="12"/>
        <v>0.125</v>
      </c>
      <c r="K806" t="s">
        <v>190</v>
      </c>
      <c r="M806">
        <v>1</v>
      </c>
      <c r="N806" s="6">
        <v>0</v>
      </c>
      <c r="O806" t="s">
        <v>118</v>
      </c>
      <c r="P806" t="s">
        <v>86</v>
      </c>
      <c r="Q806" s="2" t="s">
        <v>19</v>
      </c>
    </row>
    <row r="807" spans="1:17" ht="68" x14ac:dyDescent="0.2">
      <c r="A807" t="s">
        <v>189</v>
      </c>
      <c r="B807" t="s">
        <v>115</v>
      </c>
      <c r="C807" t="s">
        <v>16</v>
      </c>
      <c r="D807" s="3">
        <v>44263</v>
      </c>
      <c r="E807" s="1">
        <v>44263.385682870372</v>
      </c>
      <c r="F807" t="s">
        <v>17</v>
      </c>
      <c r="G807" t="s">
        <v>26</v>
      </c>
      <c r="H807" s="1">
        <v>44263.354166666664</v>
      </c>
      <c r="I807" s="1">
        <v>44263.479166666664</v>
      </c>
      <c r="J807" s="4">
        <f t="shared" si="12"/>
        <v>0.125</v>
      </c>
      <c r="K807" t="s">
        <v>190</v>
      </c>
      <c r="M807">
        <v>2</v>
      </c>
      <c r="N807" s="6">
        <v>0</v>
      </c>
      <c r="O807" t="s">
        <v>93</v>
      </c>
      <c r="P807" t="s">
        <v>86</v>
      </c>
      <c r="Q807" s="2" t="s">
        <v>19</v>
      </c>
    </row>
    <row r="808" spans="1:17" ht="68" x14ac:dyDescent="0.2">
      <c r="A808" t="s">
        <v>189</v>
      </c>
      <c r="B808" t="s">
        <v>115</v>
      </c>
      <c r="C808" t="s">
        <v>16</v>
      </c>
      <c r="D808" s="3">
        <v>44263</v>
      </c>
      <c r="E808" s="1">
        <v>44263.385694444441</v>
      </c>
      <c r="F808" t="s">
        <v>17</v>
      </c>
      <c r="G808" t="s">
        <v>26</v>
      </c>
      <c r="H808" s="1">
        <v>44263.354166666664</v>
      </c>
      <c r="I808" s="1">
        <v>44263.479166666664</v>
      </c>
      <c r="J808" s="4">
        <f t="shared" si="12"/>
        <v>0.125</v>
      </c>
      <c r="K808" t="s">
        <v>190</v>
      </c>
      <c r="M808">
        <v>1</v>
      </c>
      <c r="N808" s="6">
        <v>0</v>
      </c>
      <c r="O808" t="s">
        <v>93</v>
      </c>
      <c r="P808" t="s">
        <v>93</v>
      </c>
      <c r="Q808" s="2" t="s">
        <v>19</v>
      </c>
    </row>
    <row r="809" spans="1:17" ht="85" x14ac:dyDescent="0.2">
      <c r="A809" t="s">
        <v>189</v>
      </c>
      <c r="B809" t="s">
        <v>115</v>
      </c>
      <c r="C809" t="s">
        <v>16</v>
      </c>
      <c r="D809" s="3">
        <v>44264</v>
      </c>
      <c r="E809" s="1">
        <v>44264.406886574077</v>
      </c>
      <c r="F809" t="s">
        <v>17</v>
      </c>
      <c r="G809" t="s">
        <v>24</v>
      </c>
      <c r="H809" s="1">
        <v>44264.354166666664</v>
      </c>
      <c r="I809" s="1">
        <v>44264.479166666664</v>
      </c>
      <c r="J809" s="4">
        <f t="shared" si="12"/>
        <v>0.125</v>
      </c>
      <c r="K809" t="s">
        <v>191</v>
      </c>
      <c r="M809">
        <v>4</v>
      </c>
      <c r="N809" s="6">
        <v>0</v>
      </c>
      <c r="Q809" s="2" t="s">
        <v>122</v>
      </c>
    </row>
    <row r="810" spans="1:17" ht="68" x14ac:dyDescent="0.2">
      <c r="A810" t="s">
        <v>189</v>
      </c>
      <c r="B810" t="s">
        <v>115</v>
      </c>
      <c r="C810" t="s">
        <v>16</v>
      </c>
      <c r="D810" s="3">
        <v>44264</v>
      </c>
      <c r="E810" s="1">
        <v>44264.414884259262</v>
      </c>
      <c r="F810" t="s">
        <v>17</v>
      </c>
      <c r="G810" t="s">
        <v>24</v>
      </c>
      <c r="H810" s="1">
        <v>44264.354166666664</v>
      </c>
      <c r="I810" s="1">
        <v>44264.479166666664</v>
      </c>
      <c r="J810" s="4">
        <f t="shared" si="12"/>
        <v>0.125</v>
      </c>
      <c r="K810" t="s">
        <v>191</v>
      </c>
      <c r="M810">
        <v>4</v>
      </c>
      <c r="N810" s="6">
        <v>0</v>
      </c>
      <c r="Q810" s="2" t="s">
        <v>19</v>
      </c>
    </row>
    <row r="811" spans="1:17" ht="68" x14ac:dyDescent="0.2">
      <c r="A811" t="s">
        <v>189</v>
      </c>
      <c r="B811" t="s">
        <v>115</v>
      </c>
      <c r="C811" t="s">
        <v>16</v>
      </c>
      <c r="D811" s="3">
        <v>44264</v>
      </c>
      <c r="E811" s="1">
        <v>44264.416087962964</v>
      </c>
      <c r="F811" t="s">
        <v>17</v>
      </c>
      <c r="G811" t="s">
        <v>24</v>
      </c>
      <c r="H811" s="1">
        <v>44264.354166666664</v>
      </c>
      <c r="I811" s="1">
        <v>44264.479166666664</v>
      </c>
      <c r="J811" s="4">
        <f t="shared" si="12"/>
        <v>0.125</v>
      </c>
      <c r="K811" t="s">
        <v>191</v>
      </c>
      <c r="M811">
        <v>2</v>
      </c>
      <c r="N811" s="6">
        <v>0</v>
      </c>
      <c r="Q811" s="2" t="s">
        <v>19</v>
      </c>
    </row>
    <row r="812" spans="1:17" ht="68" x14ac:dyDescent="0.2">
      <c r="A812" t="s">
        <v>189</v>
      </c>
      <c r="B812" t="s">
        <v>115</v>
      </c>
      <c r="C812" t="s">
        <v>16</v>
      </c>
      <c r="D812" s="3">
        <v>44264</v>
      </c>
      <c r="E812" s="1">
        <v>44264.666909722226</v>
      </c>
      <c r="F812" t="s">
        <v>17</v>
      </c>
      <c r="G812" t="s">
        <v>34</v>
      </c>
      <c r="H812" s="1">
        <v>44264.5625</v>
      </c>
      <c r="I812" s="1">
        <v>44264.6875</v>
      </c>
      <c r="J812" s="4">
        <f t="shared" si="12"/>
        <v>0.125</v>
      </c>
      <c r="K812" t="s">
        <v>192</v>
      </c>
      <c r="M812">
        <v>2</v>
      </c>
      <c r="N812" s="6">
        <v>0</v>
      </c>
      <c r="Q812" s="2" t="s">
        <v>19</v>
      </c>
    </row>
    <row r="813" spans="1:17" ht="68" x14ac:dyDescent="0.2">
      <c r="A813" t="s">
        <v>189</v>
      </c>
      <c r="B813" t="s">
        <v>115</v>
      </c>
      <c r="C813" t="s">
        <v>16</v>
      </c>
      <c r="D813" s="3">
        <v>44265</v>
      </c>
      <c r="E813" s="1">
        <v>44265.435798611114</v>
      </c>
      <c r="F813" t="s">
        <v>17</v>
      </c>
      <c r="G813" t="s">
        <v>24</v>
      </c>
      <c r="H813" s="1">
        <v>44265.354166666664</v>
      </c>
      <c r="I813" s="1">
        <v>44265.479166666664</v>
      </c>
      <c r="J813" s="4">
        <f t="shared" si="12"/>
        <v>0.125</v>
      </c>
      <c r="K813" t="s">
        <v>190</v>
      </c>
      <c r="M813">
        <v>10</v>
      </c>
      <c r="N813" s="6">
        <v>0</v>
      </c>
      <c r="Q813" s="2" t="s">
        <v>19</v>
      </c>
    </row>
    <row r="814" spans="1:17" ht="68" x14ac:dyDescent="0.2">
      <c r="A814" t="s">
        <v>189</v>
      </c>
      <c r="B814" t="s">
        <v>115</v>
      </c>
      <c r="C814" t="s">
        <v>16</v>
      </c>
      <c r="D814" s="3">
        <v>44265</v>
      </c>
      <c r="E814" s="1">
        <v>44265.435902777775</v>
      </c>
      <c r="F814" t="s">
        <v>17</v>
      </c>
      <c r="G814" t="s">
        <v>24</v>
      </c>
      <c r="H814" s="1">
        <v>44265.354166666664</v>
      </c>
      <c r="I814" s="1">
        <v>44265.479166666664</v>
      </c>
      <c r="J814" s="4">
        <f t="shared" si="12"/>
        <v>0.125</v>
      </c>
      <c r="K814" t="s">
        <v>190</v>
      </c>
      <c r="M814">
        <v>2</v>
      </c>
      <c r="N814" s="6">
        <v>0</v>
      </c>
      <c r="O814" t="s">
        <v>93</v>
      </c>
      <c r="P814" t="s">
        <v>89</v>
      </c>
      <c r="Q814" s="2" t="s">
        <v>19</v>
      </c>
    </row>
    <row r="815" spans="1:17" ht="68" x14ac:dyDescent="0.2">
      <c r="A815" t="s">
        <v>189</v>
      </c>
      <c r="B815" t="s">
        <v>115</v>
      </c>
      <c r="C815" t="s">
        <v>16</v>
      </c>
      <c r="D815" s="3">
        <v>44265</v>
      </c>
      <c r="E815" s="1">
        <v>44265.463055555556</v>
      </c>
      <c r="F815" t="s">
        <v>17</v>
      </c>
      <c r="G815" t="s">
        <v>24</v>
      </c>
      <c r="H815" s="1">
        <v>44265.354166666664</v>
      </c>
      <c r="I815" s="1">
        <v>44265.479166666664</v>
      </c>
      <c r="J815" s="4">
        <f t="shared" si="12"/>
        <v>0.125</v>
      </c>
      <c r="K815" t="s">
        <v>190</v>
      </c>
      <c r="M815">
        <v>1</v>
      </c>
      <c r="N815" s="6">
        <v>0</v>
      </c>
      <c r="O815" t="s">
        <v>93</v>
      </c>
      <c r="P815" t="s">
        <v>86</v>
      </c>
      <c r="Q815" s="2" t="s">
        <v>19</v>
      </c>
    </row>
    <row r="816" spans="1:17" ht="68" x14ac:dyDescent="0.2">
      <c r="A816" t="s">
        <v>189</v>
      </c>
      <c r="B816" t="s">
        <v>115</v>
      </c>
      <c r="C816" t="s">
        <v>16</v>
      </c>
      <c r="D816" s="3">
        <v>44265</v>
      </c>
      <c r="E816" s="1">
        <v>44265.466851851852</v>
      </c>
      <c r="F816" t="s">
        <v>17</v>
      </c>
      <c r="G816" t="s">
        <v>24</v>
      </c>
      <c r="H816" s="1">
        <v>44265.354166666664</v>
      </c>
      <c r="I816" s="1">
        <v>44265.479166666664</v>
      </c>
      <c r="J816" s="4">
        <f t="shared" si="12"/>
        <v>0.125</v>
      </c>
      <c r="K816" t="s">
        <v>190</v>
      </c>
      <c r="M816">
        <v>1</v>
      </c>
      <c r="N816" s="6">
        <v>0</v>
      </c>
      <c r="O816" t="s">
        <v>102</v>
      </c>
      <c r="P816" t="s">
        <v>89</v>
      </c>
      <c r="Q816" s="2" t="s">
        <v>19</v>
      </c>
    </row>
    <row r="817" spans="1:17" ht="68" x14ac:dyDescent="0.2">
      <c r="A817" t="s">
        <v>189</v>
      </c>
      <c r="B817" t="s">
        <v>115</v>
      </c>
      <c r="C817" t="s">
        <v>16</v>
      </c>
      <c r="D817" s="3">
        <v>44265</v>
      </c>
      <c r="E817" s="1">
        <v>44265.473703703705</v>
      </c>
      <c r="F817" t="s">
        <v>17</v>
      </c>
      <c r="G817" t="s">
        <v>24</v>
      </c>
      <c r="H817" s="1">
        <v>44265.354166666664</v>
      </c>
      <c r="I817" s="1">
        <v>44265.479166666664</v>
      </c>
      <c r="J817" s="4">
        <f t="shared" si="12"/>
        <v>0.125</v>
      </c>
      <c r="K817" t="s">
        <v>190</v>
      </c>
      <c r="M817">
        <v>0</v>
      </c>
      <c r="N817" s="5" t="s">
        <v>144</v>
      </c>
      <c r="Q817" s="2" t="s">
        <v>19</v>
      </c>
    </row>
    <row r="818" spans="1:17" ht="68" x14ac:dyDescent="0.2">
      <c r="A818" t="s">
        <v>189</v>
      </c>
      <c r="B818" t="s">
        <v>115</v>
      </c>
      <c r="C818" t="s">
        <v>16</v>
      </c>
      <c r="D818" s="3">
        <v>44266</v>
      </c>
      <c r="E818" s="1">
        <v>44266.3983912037</v>
      </c>
      <c r="F818" t="s">
        <v>17</v>
      </c>
      <c r="G818" t="s">
        <v>39</v>
      </c>
      <c r="H818" s="1">
        <v>44266.377083333333</v>
      </c>
      <c r="I818" s="1">
        <v>44266.510416666664</v>
      </c>
      <c r="J818" s="4">
        <f t="shared" si="12"/>
        <v>0.13333333333139308</v>
      </c>
      <c r="K818" t="s">
        <v>192</v>
      </c>
      <c r="M818">
        <v>27</v>
      </c>
      <c r="N818" s="6">
        <v>0</v>
      </c>
      <c r="Q818" s="2" t="s">
        <v>19</v>
      </c>
    </row>
    <row r="819" spans="1:17" ht="68" x14ac:dyDescent="0.2">
      <c r="A819" t="s">
        <v>189</v>
      </c>
      <c r="B819" t="s">
        <v>115</v>
      </c>
      <c r="C819" t="s">
        <v>16</v>
      </c>
      <c r="D819" s="3">
        <v>44266</v>
      </c>
      <c r="E819" s="1">
        <v>44266.664560185185</v>
      </c>
      <c r="F819" t="s">
        <v>17</v>
      </c>
      <c r="G819" t="s">
        <v>35</v>
      </c>
      <c r="H819" s="1">
        <v>44266.53125</v>
      </c>
      <c r="I819" s="1">
        <v>44266.666666666664</v>
      </c>
      <c r="J819" s="4">
        <f t="shared" si="12"/>
        <v>0.13541666666424135</v>
      </c>
      <c r="K819" t="s">
        <v>192</v>
      </c>
      <c r="M819">
        <v>15</v>
      </c>
      <c r="N819" s="6">
        <v>0</v>
      </c>
      <c r="Q819" s="2" t="s">
        <v>19</v>
      </c>
    </row>
    <row r="820" spans="1:17" ht="68" x14ac:dyDescent="0.2">
      <c r="A820" t="s">
        <v>189</v>
      </c>
      <c r="B820" t="s">
        <v>115</v>
      </c>
      <c r="C820" t="s">
        <v>16</v>
      </c>
      <c r="D820" s="3">
        <v>44270</v>
      </c>
      <c r="E820" s="1">
        <v>44270.391331018516</v>
      </c>
      <c r="F820" t="s">
        <v>17</v>
      </c>
      <c r="G820" t="s">
        <v>24</v>
      </c>
      <c r="H820" s="1">
        <v>44270.354166666664</v>
      </c>
      <c r="I820" s="1">
        <v>44270.479166666664</v>
      </c>
      <c r="J820" s="4">
        <f t="shared" si="12"/>
        <v>0.125</v>
      </c>
      <c r="K820" t="s">
        <v>190</v>
      </c>
      <c r="M820">
        <v>1</v>
      </c>
      <c r="N820" s="6">
        <v>0</v>
      </c>
      <c r="O820" t="s">
        <v>93</v>
      </c>
      <c r="P820" t="s">
        <v>86</v>
      </c>
      <c r="Q820" s="2" t="s">
        <v>19</v>
      </c>
    </row>
    <row r="821" spans="1:17" ht="68" x14ac:dyDescent="0.2">
      <c r="A821" t="s">
        <v>189</v>
      </c>
      <c r="B821" t="s">
        <v>115</v>
      </c>
      <c r="C821" t="s">
        <v>16</v>
      </c>
      <c r="D821" s="3">
        <v>44270</v>
      </c>
      <c r="E821" s="1">
        <v>44270.395694444444</v>
      </c>
      <c r="F821" t="s">
        <v>17</v>
      </c>
      <c r="G821" t="s">
        <v>24</v>
      </c>
      <c r="H821" s="1">
        <v>44270.354166666664</v>
      </c>
      <c r="I821" s="1">
        <v>44270.479166666664</v>
      </c>
      <c r="J821" s="4">
        <f t="shared" si="12"/>
        <v>0.125</v>
      </c>
      <c r="K821" t="s">
        <v>190</v>
      </c>
      <c r="M821">
        <v>1</v>
      </c>
      <c r="N821" s="6">
        <v>0</v>
      </c>
      <c r="O821" t="s">
        <v>118</v>
      </c>
      <c r="P821" t="s">
        <v>89</v>
      </c>
      <c r="Q821" s="2" t="s">
        <v>19</v>
      </c>
    </row>
    <row r="822" spans="1:17" ht="68" x14ac:dyDescent="0.2">
      <c r="A822" t="s">
        <v>189</v>
      </c>
      <c r="B822" t="s">
        <v>115</v>
      </c>
      <c r="C822" t="s">
        <v>16</v>
      </c>
      <c r="D822" s="3">
        <v>44270</v>
      </c>
      <c r="E822" s="1">
        <v>44270.472187500003</v>
      </c>
      <c r="F822" t="s">
        <v>17</v>
      </c>
      <c r="G822" t="s">
        <v>24</v>
      </c>
      <c r="H822" s="1">
        <v>44270.354166666664</v>
      </c>
      <c r="I822" s="1">
        <v>44270.479166666664</v>
      </c>
      <c r="J822" s="4">
        <f t="shared" si="12"/>
        <v>0.125</v>
      </c>
      <c r="K822" t="s">
        <v>190</v>
      </c>
      <c r="M822">
        <v>0</v>
      </c>
      <c r="N822" s="5" t="s">
        <v>144</v>
      </c>
      <c r="Q822" s="2" t="s">
        <v>19</v>
      </c>
    </row>
    <row r="823" spans="1:17" ht="68" x14ac:dyDescent="0.2">
      <c r="A823" t="s">
        <v>189</v>
      </c>
      <c r="B823" t="s">
        <v>115</v>
      </c>
      <c r="C823" t="s">
        <v>16</v>
      </c>
      <c r="D823" s="3">
        <v>44271</v>
      </c>
      <c r="E823" s="1">
        <v>44271.395682870374</v>
      </c>
      <c r="F823" t="s">
        <v>17</v>
      </c>
      <c r="G823" t="s">
        <v>36</v>
      </c>
      <c r="H823" s="1">
        <v>44271.375</v>
      </c>
      <c r="I823" s="1">
        <v>44271.489583333336</v>
      </c>
      <c r="J823" s="4">
        <f t="shared" si="12"/>
        <v>0.11458333333575865</v>
      </c>
      <c r="K823" t="s">
        <v>192</v>
      </c>
      <c r="M823">
        <v>21</v>
      </c>
      <c r="N823" s="6">
        <v>0</v>
      </c>
      <c r="Q823" s="2" t="s">
        <v>19</v>
      </c>
    </row>
    <row r="824" spans="1:17" ht="68" x14ac:dyDescent="0.2">
      <c r="A824" t="s">
        <v>189</v>
      </c>
      <c r="B824" t="s">
        <v>115</v>
      </c>
      <c r="C824" t="s">
        <v>16</v>
      </c>
      <c r="D824" s="3">
        <v>44271</v>
      </c>
      <c r="E824" s="1">
        <v>44271.534861111111</v>
      </c>
      <c r="F824" t="s">
        <v>17</v>
      </c>
      <c r="G824" t="s">
        <v>37</v>
      </c>
      <c r="H824" s="1">
        <v>44271.53125</v>
      </c>
      <c r="I824" s="1">
        <v>44271.635416666664</v>
      </c>
      <c r="J824" s="4">
        <f t="shared" si="12"/>
        <v>0.10416666666424135</v>
      </c>
      <c r="K824" t="s">
        <v>192</v>
      </c>
      <c r="M824">
        <v>14</v>
      </c>
      <c r="N824" s="6">
        <v>0</v>
      </c>
      <c r="Q824" s="2" t="s">
        <v>19</v>
      </c>
    </row>
    <row r="825" spans="1:17" ht="68" x14ac:dyDescent="0.2">
      <c r="A825" t="s">
        <v>189</v>
      </c>
      <c r="B825" t="s">
        <v>115</v>
      </c>
      <c r="C825" t="s">
        <v>16</v>
      </c>
      <c r="D825" s="3">
        <v>44272</v>
      </c>
      <c r="E825" s="1">
        <v>44272.38590277778</v>
      </c>
      <c r="F825" t="s">
        <v>17</v>
      </c>
      <c r="G825" t="s">
        <v>38</v>
      </c>
      <c r="H825" s="1">
        <v>44272.354166666664</v>
      </c>
      <c r="I825" s="1">
        <v>44272.479166666664</v>
      </c>
      <c r="J825" s="4">
        <f t="shared" si="12"/>
        <v>0.125</v>
      </c>
      <c r="K825" t="s">
        <v>190</v>
      </c>
      <c r="M825">
        <v>1</v>
      </c>
      <c r="N825" s="6">
        <v>0</v>
      </c>
      <c r="O825" t="s">
        <v>93</v>
      </c>
      <c r="P825" t="s">
        <v>86</v>
      </c>
      <c r="Q825" s="2" t="s">
        <v>19</v>
      </c>
    </row>
    <row r="826" spans="1:17" ht="68" x14ac:dyDescent="0.2">
      <c r="A826" t="s">
        <v>189</v>
      </c>
      <c r="B826" t="s">
        <v>115</v>
      </c>
      <c r="C826" t="s">
        <v>16</v>
      </c>
      <c r="D826" s="3">
        <v>44272</v>
      </c>
      <c r="E826" s="1">
        <v>44272.406863425924</v>
      </c>
      <c r="F826" t="s">
        <v>17</v>
      </c>
      <c r="G826" t="s">
        <v>38</v>
      </c>
      <c r="H826" s="1">
        <v>44272.354166666664</v>
      </c>
      <c r="I826" s="1">
        <v>44272.479166666664</v>
      </c>
      <c r="J826" s="4">
        <f t="shared" si="12"/>
        <v>0.125</v>
      </c>
      <c r="K826" t="s">
        <v>190</v>
      </c>
      <c r="M826">
        <v>1</v>
      </c>
      <c r="N826" s="6">
        <v>0</v>
      </c>
      <c r="O826" t="s">
        <v>118</v>
      </c>
      <c r="P826" t="s">
        <v>86</v>
      </c>
      <c r="Q826" s="2" t="s">
        <v>19</v>
      </c>
    </row>
    <row r="827" spans="1:17" ht="68" x14ac:dyDescent="0.2">
      <c r="A827" t="s">
        <v>189</v>
      </c>
      <c r="B827" t="s">
        <v>115</v>
      </c>
      <c r="C827" t="s">
        <v>16</v>
      </c>
      <c r="D827" s="3">
        <v>44272</v>
      </c>
      <c r="E827" s="1">
        <v>44272.47619212963</v>
      </c>
      <c r="F827" t="s">
        <v>17</v>
      </c>
      <c r="G827" t="s">
        <v>38</v>
      </c>
      <c r="H827" s="1">
        <v>44272.354166666664</v>
      </c>
      <c r="I827" s="1">
        <v>44272.479166666664</v>
      </c>
      <c r="J827" s="4">
        <f t="shared" si="12"/>
        <v>0.125</v>
      </c>
      <c r="K827" t="s">
        <v>190</v>
      </c>
      <c r="M827">
        <v>0</v>
      </c>
      <c r="N827" s="5" t="s">
        <v>144</v>
      </c>
      <c r="Q827" s="2" t="s">
        <v>19</v>
      </c>
    </row>
    <row r="828" spans="1:17" ht="68" x14ac:dyDescent="0.2">
      <c r="A828" t="s">
        <v>189</v>
      </c>
      <c r="B828" t="s">
        <v>115</v>
      </c>
      <c r="C828" t="s">
        <v>16</v>
      </c>
      <c r="D828" s="3">
        <v>44273</v>
      </c>
      <c r="E828" s="1">
        <v>44273.397349537037</v>
      </c>
      <c r="F828" t="s">
        <v>17</v>
      </c>
      <c r="G828" t="s">
        <v>39</v>
      </c>
      <c r="H828" s="1">
        <v>44273.375</v>
      </c>
      <c r="I828" s="1">
        <v>44273.489583333336</v>
      </c>
      <c r="J828" s="4">
        <f t="shared" si="12"/>
        <v>0.11458333333575865</v>
      </c>
      <c r="K828" t="s">
        <v>192</v>
      </c>
      <c r="M828">
        <v>20</v>
      </c>
      <c r="N828" s="6">
        <v>0</v>
      </c>
      <c r="Q828" s="2" t="s">
        <v>19</v>
      </c>
    </row>
    <row r="829" spans="1:17" ht="68" x14ac:dyDescent="0.2">
      <c r="A829" t="s">
        <v>189</v>
      </c>
      <c r="B829" t="s">
        <v>115</v>
      </c>
      <c r="C829" t="s">
        <v>16</v>
      </c>
      <c r="D829" s="3">
        <v>44273</v>
      </c>
      <c r="E829" s="1">
        <v>44273.568333333336</v>
      </c>
      <c r="F829" t="s">
        <v>17</v>
      </c>
      <c r="G829" t="s">
        <v>40</v>
      </c>
      <c r="H829" s="1">
        <v>44273.53125</v>
      </c>
      <c r="I829" s="1">
        <v>44273.666666666664</v>
      </c>
      <c r="J829" s="4">
        <f t="shared" si="12"/>
        <v>0.13541666666424135</v>
      </c>
      <c r="K829" t="s">
        <v>192</v>
      </c>
      <c r="M829">
        <v>15</v>
      </c>
      <c r="N829" s="6">
        <v>0</v>
      </c>
      <c r="Q829" s="2" t="s">
        <v>19</v>
      </c>
    </row>
    <row r="830" spans="1:17" ht="68" x14ac:dyDescent="0.2">
      <c r="A830" t="s">
        <v>189</v>
      </c>
      <c r="B830" t="s">
        <v>115</v>
      </c>
      <c r="C830" t="s">
        <v>16</v>
      </c>
      <c r="D830" s="3">
        <v>44279</v>
      </c>
      <c r="E830" s="1">
        <v>44279.47378472222</v>
      </c>
      <c r="F830" t="s">
        <v>17</v>
      </c>
      <c r="G830" t="s">
        <v>41</v>
      </c>
      <c r="H830" s="1">
        <v>44279.354166666664</v>
      </c>
      <c r="I830" s="1">
        <v>44279.479166666664</v>
      </c>
      <c r="J830" s="4">
        <f t="shared" si="12"/>
        <v>0.125</v>
      </c>
      <c r="K830" t="s">
        <v>190</v>
      </c>
      <c r="M830">
        <v>0</v>
      </c>
      <c r="N830" s="5" t="s">
        <v>144</v>
      </c>
      <c r="Q830" s="2" t="s">
        <v>19</v>
      </c>
    </row>
    <row r="831" spans="1:17" ht="68" x14ac:dyDescent="0.2">
      <c r="A831" t="s">
        <v>189</v>
      </c>
      <c r="B831" t="s">
        <v>115</v>
      </c>
      <c r="C831" t="s">
        <v>16</v>
      </c>
      <c r="D831" s="3">
        <v>44281</v>
      </c>
      <c r="E831" s="1">
        <v>44281.389456018522</v>
      </c>
      <c r="F831" t="s">
        <v>17</v>
      </c>
      <c r="G831" t="s">
        <v>38</v>
      </c>
      <c r="H831" s="1">
        <v>44281.354166666664</v>
      </c>
      <c r="I831" s="1">
        <v>44281.479166666664</v>
      </c>
      <c r="J831" s="4">
        <f t="shared" si="12"/>
        <v>0.125</v>
      </c>
      <c r="K831" t="s">
        <v>190</v>
      </c>
      <c r="M831">
        <v>12</v>
      </c>
      <c r="N831" s="6">
        <v>0</v>
      </c>
      <c r="Q831" s="2" t="s">
        <v>19</v>
      </c>
    </row>
    <row r="832" spans="1:17" ht="68" x14ac:dyDescent="0.2">
      <c r="A832" t="s">
        <v>189</v>
      </c>
      <c r="B832" t="s">
        <v>115</v>
      </c>
      <c r="C832" t="s">
        <v>16</v>
      </c>
      <c r="D832" s="3">
        <v>44281</v>
      </c>
      <c r="E832" s="1">
        <v>44281.475601851853</v>
      </c>
      <c r="F832" t="s">
        <v>17</v>
      </c>
      <c r="G832" t="s">
        <v>38</v>
      </c>
      <c r="H832" s="1">
        <v>44281.354166666664</v>
      </c>
      <c r="I832" s="1">
        <v>44281.479166666664</v>
      </c>
      <c r="J832" s="4">
        <f t="shared" si="12"/>
        <v>0.125</v>
      </c>
      <c r="K832" t="s">
        <v>190</v>
      </c>
      <c r="M832">
        <v>0</v>
      </c>
      <c r="N832" s="5" t="s">
        <v>144</v>
      </c>
      <c r="Q832" s="2" t="s">
        <v>19</v>
      </c>
    </row>
    <row r="833" spans="1:17" ht="68" x14ac:dyDescent="0.2">
      <c r="A833" t="s">
        <v>189</v>
      </c>
      <c r="B833" t="s">
        <v>115</v>
      </c>
      <c r="C833" t="s">
        <v>16</v>
      </c>
      <c r="D833" s="3">
        <v>44284</v>
      </c>
      <c r="E833" s="1">
        <v>44284.45815972222</v>
      </c>
      <c r="F833" t="s">
        <v>17</v>
      </c>
      <c r="G833" t="s">
        <v>38</v>
      </c>
      <c r="H833" s="1">
        <v>44284.354166666664</v>
      </c>
      <c r="I833" s="1">
        <v>44284.479166666664</v>
      </c>
      <c r="J833" s="4">
        <f t="shared" si="12"/>
        <v>0.125</v>
      </c>
      <c r="K833" t="s">
        <v>190</v>
      </c>
      <c r="M833">
        <v>6</v>
      </c>
      <c r="N833" s="6">
        <v>0</v>
      </c>
      <c r="Q833" s="2" t="s">
        <v>19</v>
      </c>
    </row>
    <row r="834" spans="1:17" ht="68" x14ac:dyDescent="0.2">
      <c r="A834" t="s">
        <v>189</v>
      </c>
      <c r="B834" t="s">
        <v>115</v>
      </c>
      <c r="C834" t="s">
        <v>16</v>
      </c>
      <c r="D834" s="3">
        <v>44284</v>
      </c>
      <c r="E834" s="1">
        <v>44284.45890046296</v>
      </c>
      <c r="F834" t="s">
        <v>17</v>
      </c>
      <c r="G834" t="s">
        <v>38</v>
      </c>
      <c r="H834" s="1">
        <v>44284.354166666664</v>
      </c>
      <c r="I834" s="1">
        <v>44284.479166666664</v>
      </c>
      <c r="J834" s="4">
        <f t="shared" si="12"/>
        <v>0.125</v>
      </c>
      <c r="K834" t="s">
        <v>190</v>
      </c>
      <c r="M834">
        <v>1</v>
      </c>
      <c r="N834" s="6">
        <v>0</v>
      </c>
      <c r="O834" t="s">
        <v>93</v>
      </c>
      <c r="P834" t="s">
        <v>86</v>
      </c>
      <c r="Q834" s="2" t="s">
        <v>19</v>
      </c>
    </row>
    <row r="835" spans="1:17" ht="153" x14ac:dyDescent="0.2">
      <c r="A835" t="s">
        <v>189</v>
      </c>
      <c r="B835" t="s">
        <v>115</v>
      </c>
      <c r="C835" t="s">
        <v>16</v>
      </c>
      <c r="D835" s="3">
        <v>44284</v>
      </c>
      <c r="E835" s="1">
        <v>44284.465752314813</v>
      </c>
      <c r="F835" t="s">
        <v>17</v>
      </c>
      <c r="G835" t="s">
        <v>38</v>
      </c>
      <c r="H835" s="1">
        <v>44284.354166666664</v>
      </c>
      <c r="I835" s="1">
        <v>44284.479166666664</v>
      </c>
      <c r="J835" s="4">
        <f t="shared" ref="J835:J898" si="13">IF($I835="","",$I835-$H835)</f>
        <v>0.125</v>
      </c>
      <c r="K835" t="s">
        <v>190</v>
      </c>
      <c r="M835">
        <v>1</v>
      </c>
      <c r="N835" s="6">
        <v>0</v>
      </c>
      <c r="O835" t="s">
        <v>93</v>
      </c>
      <c r="P835" t="s">
        <v>86</v>
      </c>
      <c r="Q835" s="2" t="s">
        <v>123</v>
      </c>
    </row>
    <row r="836" spans="1:17" ht="68" x14ac:dyDescent="0.2">
      <c r="A836" t="s">
        <v>189</v>
      </c>
      <c r="B836" t="s">
        <v>115</v>
      </c>
      <c r="C836" t="s">
        <v>16</v>
      </c>
      <c r="D836" s="3">
        <v>44284</v>
      </c>
      <c r="E836" s="1">
        <v>44284.472777777781</v>
      </c>
      <c r="F836" t="s">
        <v>17</v>
      </c>
      <c r="G836" t="s">
        <v>38</v>
      </c>
      <c r="H836" s="1">
        <v>44284.354166666664</v>
      </c>
      <c r="I836" s="1">
        <v>44284.479166666664</v>
      </c>
      <c r="J836" s="4">
        <f t="shared" si="13"/>
        <v>0.125</v>
      </c>
      <c r="K836" t="s">
        <v>190</v>
      </c>
      <c r="M836">
        <v>0</v>
      </c>
      <c r="N836" s="5" t="s">
        <v>144</v>
      </c>
      <c r="Q836" s="2" t="s">
        <v>19</v>
      </c>
    </row>
    <row r="837" spans="1:17" ht="68" x14ac:dyDescent="0.2">
      <c r="A837" t="s">
        <v>189</v>
      </c>
      <c r="B837" t="s">
        <v>115</v>
      </c>
      <c r="C837" t="s">
        <v>16</v>
      </c>
      <c r="D837" s="3">
        <v>44285</v>
      </c>
      <c r="E837" s="1">
        <v>44285.422627314816</v>
      </c>
      <c r="F837" t="s">
        <v>17</v>
      </c>
      <c r="G837" t="s">
        <v>29</v>
      </c>
      <c r="H837" s="1">
        <v>44285.375</v>
      </c>
      <c r="I837" s="1">
        <v>44285.489583333336</v>
      </c>
      <c r="J837" s="4">
        <f t="shared" si="13"/>
        <v>0.11458333333575865</v>
      </c>
      <c r="K837" t="s">
        <v>192</v>
      </c>
      <c r="M837">
        <v>1</v>
      </c>
      <c r="N837" s="6">
        <v>0</v>
      </c>
      <c r="Q837" s="2" t="s">
        <v>19</v>
      </c>
    </row>
    <row r="838" spans="1:17" ht="68" x14ac:dyDescent="0.2">
      <c r="A838" t="s">
        <v>189</v>
      </c>
      <c r="B838" t="s">
        <v>115</v>
      </c>
      <c r="C838" t="s">
        <v>16</v>
      </c>
      <c r="D838" s="3">
        <v>44285</v>
      </c>
      <c r="E838" s="1">
        <v>44285.422662037039</v>
      </c>
      <c r="F838" t="s">
        <v>17</v>
      </c>
      <c r="G838" t="s">
        <v>29</v>
      </c>
      <c r="H838" s="1">
        <v>44285.375</v>
      </c>
      <c r="I838" s="1">
        <v>44285.489583333336</v>
      </c>
      <c r="J838" s="4">
        <f t="shared" si="13"/>
        <v>0.11458333333575865</v>
      </c>
      <c r="K838" t="s">
        <v>192</v>
      </c>
      <c r="M838">
        <v>5</v>
      </c>
      <c r="N838" s="6">
        <v>0</v>
      </c>
      <c r="Q838" s="2" t="s">
        <v>19</v>
      </c>
    </row>
    <row r="839" spans="1:17" ht="68" x14ac:dyDescent="0.2">
      <c r="A839" t="s">
        <v>189</v>
      </c>
      <c r="B839" t="s">
        <v>115</v>
      </c>
      <c r="C839" t="s">
        <v>16</v>
      </c>
      <c r="D839" s="3">
        <v>44285</v>
      </c>
      <c r="E839" s="1">
        <v>44285.535150462965</v>
      </c>
      <c r="F839" t="s">
        <v>17</v>
      </c>
      <c r="G839" t="s">
        <v>42</v>
      </c>
      <c r="H839" s="1">
        <v>44285.53125</v>
      </c>
      <c r="I839" s="1">
        <v>44285.666666666664</v>
      </c>
      <c r="J839" s="4">
        <f t="shared" si="13"/>
        <v>0.13541666666424135</v>
      </c>
      <c r="K839" t="s">
        <v>192</v>
      </c>
      <c r="M839">
        <v>16</v>
      </c>
      <c r="N839" s="6">
        <v>0</v>
      </c>
      <c r="Q839" s="2" t="s">
        <v>19</v>
      </c>
    </row>
    <row r="840" spans="1:17" ht="68" x14ac:dyDescent="0.2">
      <c r="A840" t="s">
        <v>189</v>
      </c>
      <c r="B840" t="s">
        <v>115</v>
      </c>
      <c r="C840" t="s">
        <v>16</v>
      </c>
      <c r="D840" s="3">
        <v>44286</v>
      </c>
      <c r="E840" s="1">
        <v>44286.429340277777</v>
      </c>
      <c r="F840" t="s">
        <v>17</v>
      </c>
      <c r="G840" t="s">
        <v>31</v>
      </c>
      <c r="H840" s="1">
        <v>44286.354166666664</v>
      </c>
      <c r="I840" s="1">
        <v>44286.479166666664</v>
      </c>
      <c r="J840" s="4">
        <f t="shared" si="13"/>
        <v>0.125</v>
      </c>
      <c r="K840" t="s">
        <v>190</v>
      </c>
      <c r="M840">
        <v>1</v>
      </c>
      <c r="N840" s="6">
        <v>0</v>
      </c>
      <c r="O840" t="s">
        <v>93</v>
      </c>
      <c r="P840" t="s">
        <v>86</v>
      </c>
      <c r="Q840" s="2" t="s">
        <v>19</v>
      </c>
    </row>
    <row r="841" spans="1:17" ht="204" x14ac:dyDescent="0.2">
      <c r="A841" t="s">
        <v>189</v>
      </c>
      <c r="B841" t="s">
        <v>115</v>
      </c>
      <c r="C841" t="s">
        <v>16</v>
      </c>
      <c r="D841" s="3">
        <v>44286</v>
      </c>
      <c r="E841" s="1">
        <v>44286.431087962963</v>
      </c>
      <c r="F841" t="s">
        <v>17</v>
      </c>
      <c r="G841" t="s">
        <v>31</v>
      </c>
      <c r="H841" s="1">
        <v>44286.354166666664</v>
      </c>
      <c r="I841" s="1">
        <v>44286.479166666664</v>
      </c>
      <c r="J841" s="4">
        <f t="shared" si="13"/>
        <v>0.125</v>
      </c>
      <c r="K841" t="s">
        <v>190</v>
      </c>
      <c r="M841">
        <v>1</v>
      </c>
      <c r="N841" s="6">
        <v>0</v>
      </c>
      <c r="O841" t="s">
        <v>103</v>
      </c>
      <c r="P841" t="s">
        <v>86</v>
      </c>
      <c r="Q841" s="2" t="s">
        <v>124</v>
      </c>
    </row>
    <row r="842" spans="1:17" ht="68" x14ac:dyDescent="0.2">
      <c r="A842" t="s">
        <v>189</v>
      </c>
      <c r="B842" t="s">
        <v>115</v>
      </c>
      <c r="C842" t="s">
        <v>16</v>
      </c>
      <c r="D842" s="3">
        <v>44286</v>
      </c>
      <c r="E842" s="1">
        <v>44286.472025462965</v>
      </c>
      <c r="F842" t="s">
        <v>17</v>
      </c>
      <c r="G842" t="s">
        <v>31</v>
      </c>
      <c r="H842" s="1">
        <v>44286.354166666664</v>
      </c>
      <c r="I842" s="1">
        <v>44286.479166666664</v>
      </c>
      <c r="J842" s="4">
        <f t="shared" si="13"/>
        <v>0.125</v>
      </c>
      <c r="K842" t="s">
        <v>190</v>
      </c>
      <c r="M842">
        <v>0</v>
      </c>
      <c r="N842" s="5" t="s">
        <v>144</v>
      </c>
      <c r="Q842" s="2" t="s">
        <v>19</v>
      </c>
    </row>
    <row r="843" spans="1:17" ht="68" x14ac:dyDescent="0.2">
      <c r="A843" t="s">
        <v>189</v>
      </c>
      <c r="B843" t="s">
        <v>115</v>
      </c>
      <c r="C843" t="s">
        <v>16</v>
      </c>
      <c r="D843" s="3">
        <v>44287</v>
      </c>
      <c r="E843" s="1">
        <v>44287.39947916667</v>
      </c>
      <c r="F843" t="s">
        <v>17</v>
      </c>
      <c r="G843" t="s">
        <v>43</v>
      </c>
      <c r="H843" s="1">
        <v>44287.375</v>
      </c>
      <c r="I843" s="1">
        <v>44287.489583333336</v>
      </c>
      <c r="J843" s="4">
        <f t="shared" si="13"/>
        <v>0.11458333333575865</v>
      </c>
      <c r="K843" t="s">
        <v>192</v>
      </c>
      <c r="M843">
        <v>2</v>
      </c>
      <c r="N843" s="6">
        <v>0</v>
      </c>
      <c r="Q843" s="2" t="s">
        <v>19</v>
      </c>
    </row>
    <row r="844" spans="1:17" ht="68" x14ac:dyDescent="0.2">
      <c r="A844" t="s">
        <v>189</v>
      </c>
      <c r="B844" t="s">
        <v>115</v>
      </c>
      <c r="C844" t="s">
        <v>16</v>
      </c>
      <c r="D844" s="3">
        <v>44287</v>
      </c>
      <c r="E844" s="1">
        <v>44287.478935185187</v>
      </c>
      <c r="F844" t="s">
        <v>17</v>
      </c>
      <c r="G844" t="s">
        <v>43</v>
      </c>
      <c r="H844" s="1">
        <v>44287.375</v>
      </c>
      <c r="I844" s="1">
        <v>44287.489583333336</v>
      </c>
      <c r="J844" s="4">
        <f t="shared" si="13"/>
        <v>0.11458333333575865</v>
      </c>
      <c r="K844" t="s">
        <v>192</v>
      </c>
      <c r="M844">
        <v>1</v>
      </c>
      <c r="N844" s="6">
        <v>0</v>
      </c>
      <c r="Q844" s="2" t="s">
        <v>19</v>
      </c>
    </row>
    <row r="845" spans="1:17" ht="102" x14ac:dyDescent="0.2">
      <c r="A845" t="s">
        <v>189</v>
      </c>
      <c r="B845" t="s">
        <v>115</v>
      </c>
      <c r="C845" t="s">
        <v>16</v>
      </c>
      <c r="D845" s="3">
        <v>44287</v>
      </c>
      <c r="E845" s="1">
        <v>44287.553449074076</v>
      </c>
      <c r="F845" t="s">
        <v>17</v>
      </c>
      <c r="G845" t="s">
        <v>37</v>
      </c>
      <c r="H845" s="1">
        <v>44287.53125</v>
      </c>
      <c r="I845" s="1">
        <v>44287.666666666664</v>
      </c>
      <c r="J845" s="4">
        <f t="shared" si="13"/>
        <v>0.13541666666424135</v>
      </c>
      <c r="K845" t="s">
        <v>192</v>
      </c>
      <c r="M845">
        <v>20</v>
      </c>
      <c r="N845" s="6">
        <v>0</v>
      </c>
      <c r="Q845" s="2" t="s">
        <v>125</v>
      </c>
    </row>
    <row r="846" spans="1:17" ht="68" x14ac:dyDescent="0.2">
      <c r="A846" t="s">
        <v>189</v>
      </c>
      <c r="B846" t="s">
        <v>115</v>
      </c>
      <c r="C846" t="s">
        <v>16</v>
      </c>
      <c r="D846" s="3">
        <v>44288</v>
      </c>
      <c r="E846" s="1">
        <v>44288.47446759259</v>
      </c>
      <c r="F846" t="s">
        <v>17</v>
      </c>
      <c r="G846" t="s">
        <v>38</v>
      </c>
      <c r="H846" s="1">
        <v>44288.354166666664</v>
      </c>
      <c r="I846" s="1">
        <v>44288.479166666664</v>
      </c>
      <c r="J846" s="4">
        <f t="shared" si="13"/>
        <v>0.125</v>
      </c>
      <c r="K846" t="s">
        <v>190</v>
      </c>
      <c r="M846">
        <v>0</v>
      </c>
      <c r="N846" s="5" t="s">
        <v>144</v>
      </c>
      <c r="Q846" s="2" t="s">
        <v>19</v>
      </c>
    </row>
    <row r="847" spans="1:17" ht="68" x14ac:dyDescent="0.2">
      <c r="A847" t="s">
        <v>189</v>
      </c>
      <c r="B847" t="s">
        <v>115</v>
      </c>
      <c r="C847" t="s">
        <v>16</v>
      </c>
      <c r="D847" s="3">
        <v>44291</v>
      </c>
      <c r="E847" s="1">
        <v>44291.43204861111</v>
      </c>
      <c r="F847" t="s">
        <v>17</v>
      </c>
      <c r="G847" t="s">
        <v>38</v>
      </c>
      <c r="H847" s="1">
        <v>44291.354166666664</v>
      </c>
      <c r="I847" s="1">
        <v>44291.479166666664</v>
      </c>
      <c r="J847" s="4">
        <f t="shared" si="13"/>
        <v>0.125</v>
      </c>
      <c r="K847" t="s">
        <v>190</v>
      </c>
      <c r="M847">
        <v>1</v>
      </c>
      <c r="N847" s="6">
        <v>0</v>
      </c>
      <c r="O847" t="s">
        <v>93</v>
      </c>
      <c r="P847" t="s">
        <v>86</v>
      </c>
      <c r="Q847" s="2" t="s">
        <v>19</v>
      </c>
    </row>
    <row r="848" spans="1:17" ht="68" x14ac:dyDescent="0.2">
      <c r="A848" t="s">
        <v>189</v>
      </c>
      <c r="B848" t="s">
        <v>115</v>
      </c>
      <c r="C848" t="s">
        <v>16</v>
      </c>
      <c r="D848" s="3">
        <v>44292</v>
      </c>
      <c r="E848" s="1">
        <v>44292.417615740742</v>
      </c>
      <c r="F848" t="s">
        <v>17</v>
      </c>
      <c r="G848" t="s">
        <v>44</v>
      </c>
      <c r="H848" s="1">
        <v>44292.375</v>
      </c>
      <c r="I848" s="1">
        <v>44292.489583333336</v>
      </c>
      <c r="J848" s="4">
        <f t="shared" si="13"/>
        <v>0.11458333333575865</v>
      </c>
      <c r="K848" t="s">
        <v>192</v>
      </c>
      <c r="M848">
        <v>3</v>
      </c>
      <c r="N848" s="6">
        <v>0</v>
      </c>
      <c r="Q848" s="2" t="s">
        <v>19</v>
      </c>
    </row>
    <row r="849" spans="1:17" ht="68" x14ac:dyDescent="0.2">
      <c r="A849" t="s">
        <v>189</v>
      </c>
      <c r="B849" t="s">
        <v>115</v>
      </c>
      <c r="C849" t="s">
        <v>16</v>
      </c>
      <c r="D849" s="3">
        <v>44292</v>
      </c>
      <c r="E849" s="1">
        <v>44292.670914351853</v>
      </c>
      <c r="F849" t="s">
        <v>17</v>
      </c>
      <c r="G849" t="s">
        <v>45</v>
      </c>
      <c r="H849" s="1">
        <v>44292.53125</v>
      </c>
      <c r="I849" s="1">
        <v>44292.666666666664</v>
      </c>
      <c r="J849" s="4">
        <f t="shared" si="13"/>
        <v>0.13541666666424135</v>
      </c>
      <c r="K849" t="s">
        <v>193</v>
      </c>
      <c r="M849">
        <v>21</v>
      </c>
      <c r="N849" s="6">
        <v>0</v>
      </c>
      <c r="Q849" s="2" t="s">
        <v>19</v>
      </c>
    </row>
    <row r="850" spans="1:17" ht="272" x14ac:dyDescent="0.2">
      <c r="A850" t="s">
        <v>189</v>
      </c>
      <c r="B850" t="s">
        <v>115</v>
      </c>
      <c r="C850" t="s">
        <v>16</v>
      </c>
      <c r="D850" s="3">
        <v>44293</v>
      </c>
      <c r="E850" s="1">
        <v>44293.456122685187</v>
      </c>
      <c r="F850" t="s">
        <v>17</v>
      </c>
      <c r="G850" t="s">
        <v>18</v>
      </c>
      <c r="H850" s="1">
        <v>44293.354166666664</v>
      </c>
      <c r="I850" s="1">
        <v>44293.479166666664</v>
      </c>
      <c r="J850" s="4">
        <f t="shared" si="13"/>
        <v>0.125</v>
      </c>
      <c r="K850" t="s">
        <v>190</v>
      </c>
      <c r="M850">
        <v>1</v>
      </c>
      <c r="N850" s="6">
        <v>0</v>
      </c>
      <c r="O850" t="s">
        <v>102</v>
      </c>
      <c r="P850" t="s">
        <v>89</v>
      </c>
      <c r="Q850" s="2" t="s">
        <v>126</v>
      </c>
    </row>
    <row r="851" spans="1:17" ht="68" x14ac:dyDescent="0.2">
      <c r="A851" t="s">
        <v>189</v>
      </c>
      <c r="B851" t="s">
        <v>115</v>
      </c>
      <c r="C851" t="s">
        <v>16</v>
      </c>
      <c r="D851" s="3">
        <v>44294</v>
      </c>
      <c r="E851" s="1">
        <v>44294.487129629626</v>
      </c>
      <c r="F851" t="s">
        <v>17</v>
      </c>
      <c r="G851" t="s">
        <v>46</v>
      </c>
      <c r="H851" s="1">
        <v>44294.375</v>
      </c>
      <c r="I851" s="1">
        <v>44294.489583333336</v>
      </c>
      <c r="J851" s="4">
        <f t="shared" si="13"/>
        <v>0.11458333333575865</v>
      </c>
      <c r="K851" t="s">
        <v>194</v>
      </c>
      <c r="M851">
        <v>2</v>
      </c>
      <c r="N851" s="6">
        <v>0</v>
      </c>
      <c r="Q851" s="2" t="s">
        <v>19</v>
      </c>
    </row>
    <row r="852" spans="1:17" ht="68" x14ac:dyDescent="0.2">
      <c r="A852" t="s">
        <v>189</v>
      </c>
      <c r="B852" t="s">
        <v>115</v>
      </c>
      <c r="C852" t="s">
        <v>16</v>
      </c>
      <c r="D852" s="3">
        <v>44294</v>
      </c>
      <c r="E852" s="1">
        <v>44294.669548611113</v>
      </c>
      <c r="F852" t="s">
        <v>17</v>
      </c>
      <c r="G852" t="s">
        <v>42</v>
      </c>
      <c r="H852" s="1">
        <v>44294.53125</v>
      </c>
      <c r="I852" s="1">
        <v>44294.666666666664</v>
      </c>
      <c r="J852" s="4">
        <f t="shared" si="13"/>
        <v>0.13541666666424135</v>
      </c>
      <c r="K852" t="s">
        <v>192</v>
      </c>
      <c r="M852">
        <v>0</v>
      </c>
      <c r="N852" s="6">
        <v>0</v>
      </c>
      <c r="Q852" s="2" t="s">
        <v>19</v>
      </c>
    </row>
    <row r="853" spans="1:17" ht="68" x14ac:dyDescent="0.2">
      <c r="A853" t="s">
        <v>189</v>
      </c>
      <c r="B853" t="s">
        <v>115</v>
      </c>
      <c r="C853" t="s">
        <v>16</v>
      </c>
      <c r="D853" s="3">
        <v>44298</v>
      </c>
      <c r="E853" s="1">
        <v>44298.552824074075</v>
      </c>
      <c r="F853" t="s">
        <v>17</v>
      </c>
      <c r="G853" t="s">
        <v>45</v>
      </c>
      <c r="H853" s="1">
        <v>44298.53125</v>
      </c>
      <c r="I853" s="1">
        <v>44298.666666666664</v>
      </c>
      <c r="J853" s="4">
        <f t="shared" si="13"/>
        <v>0.13541666666424135</v>
      </c>
      <c r="K853" t="s">
        <v>195</v>
      </c>
      <c r="M853">
        <v>5</v>
      </c>
      <c r="N853" s="6">
        <v>0</v>
      </c>
      <c r="Q853" s="2" t="s">
        <v>19</v>
      </c>
    </row>
    <row r="854" spans="1:17" ht="68" x14ac:dyDescent="0.2">
      <c r="A854" t="s">
        <v>189</v>
      </c>
      <c r="B854" t="s">
        <v>115</v>
      </c>
      <c r="C854" t="s">
        <v>16</v>
      </c>
      <c r="D854" s="3">
        <v>44298</v>
      </c>
      <c r="E854" s="1">
        <v>44298.668321759258</v>
      </c>
      <c r="F854" t="s">
        <v>17</v>
      </c>
      <c r="G854" t="s">
        <v>45</v>
      </c>
      <c r="H854" s="1">
        <v>44298.53125</v>
      </c>
      <c r="I854" s="1">
        <v>44298.666666666664</v>
      </c>
      <c r="J854" s="4">
        <f t="shared" si="13"/>
        <v>0.13541666666424135</v>
      </c>
      <c r="K854" t="s">
        <v>195</v>
      </c>
      <c r="M854">
        <v>49</v>
      </c>
      <c r="N854" s="6">
        <v>0</v>
      </c>
      <c r="Q854" s="2" t="s">
        <v>19</v>
      </c>
    </row>
    <row r="855" spans="1:17" ht="68" x14ac:dyDescent="0.2">
      <c r="A855" t="s">
        <v>189</v>
      </c>
      <c r="B855" t="s">
        <v>115</v>
      </c>
      <c r="C855" t="s">
        <v>16</v>
      </c>
      <c r="D855" s="3">
        <v>44299</v>
      </c>
      <c r="E855" s="1">
        <v>44299.456817129627</v>
      </c>
      <c r="F855" t="s">
        <v>17</v>
      </c>
      <c r="G855" t="s">
        <v>47</v>
      </c>
      <c r="H855" s="1">
        <v>44299.375</v>
      </c>
      <c r="I855" s="1">
        <v>44299.510416666664</v>
      </c>
      <c r="J855" s="4">
        <f t="shared" si="13"/>
        <v>0.13541666666424135</v>
      </c>
      <c r="K855" t="s">
        <v>192</v>
      </c>
      <c r="M855">
        <v>3</v>
      </c>
      <c r="N855" s="6">
        <v>0</v>
      </c>
      <c r="Q855" s="2" t="s">
        <v>19</v>
      </c>
    </row>
    <row r="856" spans="1:17" ht="102" x14ac:dyDescent="0.2">
      <c r="A856" t="s">
        <v>189</v>
      </c>
      <c r="B856" t="s">
        <v>115</v>
      </c>
      <c r="C856" t="s">
        <v>16</v>
      </c>
      <c r="D856" s="3">
        <v>44299</v>
      </c>
      <c r="E856" s="1">
        <v>44299.570289351854</v>
      </c>
      <c r="F856" t="s">
        <v>17</v>
      </c>
      <c r="G856" t="s">
        <v>48</v>
      </c>
      <c r="H856" s="1">
        <v>44299.53125</v>
      </c>
      <c r="I856" s="1">
        <v>44299.635416666664</v>
      </c>
      <c r="J856" s="4">
        <f t="shared" si="13"/>
        <v>0.10416666666424135</v>
      </c>
      <c r="K856" t="s">
        <v>192</v>
      </c>
      <c r="M856">
        <v>2</v>
      </c>
      <c r="N856" s="6">
        <v>0</v>
      </c>
      <c r="Q856" s="2" t="s">
        <v>127</v>
      </c>
    </row>
    <row r="857" spans="1:17" ht="68" x14ac:dyDescent="0.2">
      <c r="A857" t="s">
        <v>189</v>
      </c>
      <c r="B857" t="s">
        <v>115</v>
      </c>
      <c r="C857" t="s">
        <v>16</v>
      </c>
      <c r="D857" s="3">
        <v>44299</v>
      </c>
      <c r="E857" s="1">
        <v>44299.667453703703</v>
      </c>
      <c r="F857" t="s">
        <v>17</v>
      </c>
      <c r="G857" t="s">
        <v>49</v>
      </c>
      <c r="H857" s="1">
        <v>44299.63958333333</v>
      </c>
      <c r="I857" s="1">
        <v>44299.666666666664</v>
      </c>
      <c r="J857" s="4">
        <f t="shared" si="13"/>
        <v>2.7083333334303461E-2</v>
      </c>
      <c r="K857" t="s">
        <v>196</v>
      </c>
      <c r="M857">
        <v>0</v>
      </c>
      <c r="N857" s="6">
        <v>0</v>
      </c>
      <c r="Q857" s="2" t="s">
        <v>19</v>
      </c>
    </row>
    <row r="858" spans="1:17" ht="68" x14ac:dyDescent="0.2">
      <c r="A858" t="s">
        <v>189</v>
      </c>
      <c r="B858" t="s">
        <v>115</v>
      </c>
      <c r="C858" t="s">
        <v>16</v>
      </c>
      <c r="D858" s="3">
        <v>44300</v>
      </c>
      <c r="E858" s="1">
        <v>44300.490543981483</v>
      </c>
      <c r="F858" t="s">
        <v>17</v>
      </c>
      <c r="G858" t="s">
        <v>50</v>
      </c>
      <c r="H858" s="1">
        <v>44300.375</v>
      </c>
      <c r="I858" s="1">
        <v>44300.489583333336</v>
      </c>
      <c r="J858" s="4">
        <f t="shared" si="13"/>
        <v>0.11458333333575865</v>
      </c>
      <c r="K858" t="s">
        <v>197</v>
      </c>
      <c r="M858">
        <v>1</v>
      </c>
      <c r="N858" s="6">
        <v>0</v>
      </c>
      <c r="Q858" s="2" t="s">
        <v>19</v>
      </c>
    </row>
    <row r="859" spans="1:17" ht="404" x14ac:dyDescent="0.2">
      <c r="A859" t="s">
        <v>189</v>
      </c>
      <c r="B859" t="s">
        <v>115</v>
      </c>
      <c r="C859" t="s">
        <v>16</v>
      </c>
      <c r="D859" s="3">
        <v>44300</v>
      </c>
      <c r="E859" s="1">
        <v>44300.590844907405</v>
      </c>
      <c r="F859" t="s">
        <v>17</v>
      </c>
      <c r="G859" t="s">
        <v>51</v>
      </c>
      <c r="H859" s="1">
        <v>44300.552083333336</v>
      </c>
      <c r="I859" s="1">
        <v>44300.666666666664</v>
      </c>
      <c r="J859" s="4">
        <f t="shared" si="13"/>
        <v>0.11458333332848269</v>
      </c>
      <c r="K859" t="s">
        <v>198</v>
      </c>
      <c r="M859">
        <v>9</v>
      </c>
      <c r="N859" s="6">
        <v>0</v>
      </c>
      <c r="O859" t="s">
        <v>102</v>
      </c>
      <c r="P859" t="s">
        <v>89</v>
      </c>
      <c r="Q859" s="2" t="s">
        <v>128</v>
      </c>
    </row>
    <row r="860" spans="1:17" ht="356" x14ac:dyDescent="0.2">
      <c r="A860" t="s">
        <v>189</v>
      </c>
      <c r="B860" t="s">
        <v>115</v>
      </c>
      <c r="C860" t="s">
        <v>16</v>
      </c>
      <c r="D860" s="3">
        <v>44300</v>
      </c>
      <c r="E860" s="1">
        <v>44300.669236111113</v>
      </c>
      <c r="F860" t="s">
        <v>17</v>
      </c>
      <c r="G860" t="s">
        <v>51</v>
      </c>
      <c r="H860" s="1">
        <v>44300.552083333336</v>
      </c>
      <c r="I860" s="1">
        <v>44300.666666666664</v>
      </c>
      <c r="J860" s="4">
        <f t="shared" si="13"/>
        <v>0.11458333332848269</v>
      </c>
      <c r="K860" t="s">
        <v>198</v>
      </c>
      <c r="M860">
        <v>3</v>
      </c>
      <c r="N860" s="6">
        <v>0</v>
      </c>
      <c r="O860" t="s">
        <v>93</v>
      </c>
      <c r="P860" t="s">
        <v>93</v>
      </c>
      <c r="Q860" s="2" t="s">
        <v>129</v>
      </c>
    </row>
    <row r="861" spans="1:17" ht="119" x14ac:dyDescent="0.2">
      <c r="A861" t="s">
        <v>189</v>
      </c>
      <c r="B861" t="s">
        <v>115</v>
      </c>
      <c r="C861" t="s">
        <v>16</v>
      </c>
      <c r="D861" s="3">
        <v>44301</v>
      </c>
      <c r="E861" s="1">
        <v>44301.452824074076</v>
      </c>
      <c r="F861" t="s">
        <v>17</v>
      </c>
      <c r="G861" t="s">
        <v>52</v>
      </c>
      <c r="H861" s="1">
        <v>44301.375</v>
      </c>
      <c r="I861" s="1">
        <v>44301.510416666664</v>
      </c>
      <c r="J861" s="4">
        <f t="shared" si="13"/>
        <v>0.13541666666424135</v>
      </c>
      <c r="K861" t="s">
        <v>192</v>
      </c>
      <c r="M861">
        <v>18</v>
      </c>
      <c r="N861" s="6">
        <v>0</v>
      </c>
      <c r="Q861" s="2" t="s">
        <v>130</v>
      </c>
    </row>
    <row r="862" spans="1:17" ht="102" x14ac:dyDescent="0.2">
      <c r="A862" t="s">
        <v>189</v>
      </c>
      <c r="B862" t="s">
        <v>115</v>
      </c>
      <c r="C862" t="s">
        <v>16</v>
      </c>
      <c r="D862" s="3">
        <v>44301</v>
      </c>
      <c r="E862" s="1">
        <v>44301.453449074077</v>
      </c>
      <c r="F862" t="s">
        <v>17</v>
      </c>
      <c r="G862" t="s">
        <v>52</v>
      </c>
      <c r="H862" s="1">
        <v>44301.375</v>
      </c>
      <c r="I862" s="1">
        <v>44301.510416666664</v>
      </c>
      <c r="J862" s="4">
        <f t="shared" si="13"/>
        <v>0.13541666666424135</v>
      </c>
      <c r="K862" t="s">
        <v>192</v>
      </c>
      <c r="M862">
        <v>2</v>
      </c>
      <c r="N862" s="6">
        <v>0</v>
      </c>
      <c r="O862" t="s">
        <v>102</v>
      </c>
      <c r="P862" t="s">
        <v>86</v>
      </c>
      <c r="Q862" s="2" t="s">
        <v>131</v>
      </c>
    </row>
    <row r="863" spans="1:17" ht="68" x14ac:dyDescent="0.2">
      <c r="A863" t="s">
        <v>189</v>
      </c>
      <c r="B863" t="s">
        <v>115</v>
      </c>
      <c r="C863" t="s">
        <v>16</v>
      </c>
      <c r="D863" s="3">
        <v>44301</v>
      </c>
      <c r="E863" s="1">
        <v>44301.453472222223</v>
      </c>
      <c r="F863" t="s">
        <v>17</v>
      </c>
      <c r="G863" t="s">
        <v>52</v>
      </c>
      <c r="H863" s="1">
        <v>44301.375</v>
      </c>
      <c r="I863" s="1">
        <v>44301.510416666664</v>
      </c>
      <c r="J863" s="4">
        <f t="shared" si="13"/>
        <v>0.13541666666424135</v>
      </c>
      <c r="K863" t="s">
        <v>192</v>
      </c>
      <c r="M863">
        <v>35</v>
      </c>
      <c r="N863" s="6">
        <v>0</v>
      </c>
      <c r="Q863" s="2" t="s">
        <v>19</v>
      </c>
    </row>
    <row r="864" spans="1:17" ht="136" x14ac:dyDescent="0.2">
      <c r="A864" t="s">
        <v>189</v>
      </c>
      <c r="B864" t="s">
        <v>115</v>
      </c>
      <c r="C864" t="s">
        <v>16</v>
      </c>
      <c r="D864" s="3">
        <v>44301</v>
      </c>
      <c r="E864" s="1">
        <v>44301.569027777776</v>
      </c>
      <c r="F864" t="s">
        <v>17</v>
      </c>
      <c r="G864" t="s">
        <v>37</v>
      </c>
      <c r="H864" s="1">
        <v>44301.53125</v>
      </c>
      <c r="I864" s="1">
        <v>44301.666666666664</v>
      </c>
      <c r="J864" s="4">
        <f t="shared" si="13"/>
        <v>0.13541666666424135</v>
      </c>
      <c r="K864" t="s">
        <v>192</v>
      </c>
      <c r="M864">
        <v>4</v>
      </c>
      <c r="N864" s="6">
        <v>0</v>
      </c>
      <c r="O864" t="s">
        <v>102</v>
      </c>
      <c r="P864" t="s">
        <v>89</v>
      </c>
      <c r="Q864" s="2" t="s">
        <v>132</v>
      </c>
    </row>
    <row r="865" spans="1:17" ht="68" x14ac:dyDescent="0.2">
      <c r="A865" t="s">
        <v>189</v>
      </c>
      <c r="B865" t="s">
        <v>115</v>
      </c>
      <c r="C865" t="s">
        <v>16</v>
      </c>
      <c r="D865" s="3">
        <v>44301</v>
      </c>
      <c r="E865" s="1">
        <v>44301.663958333331</v>
      </c>
      <c r="F865" t="s">
        <v>17</v>
      </c>
      <c r="G865" t="s">
        <v>37</v>
      </c>
      <c r="H865" s="1">
        <v>44301.53125</v>
      </c>
      <c r="I865" s="1">
        <v>44301.666666666664</v>
      </c>
      <c r="J865" s="4">
        <f t="shared" si="13"/>
        <v>0.13541666666424135</v>
      </c>
      <c r="K865" t="s">
        <v>192</v>
      </c>
      <c r="M865">
        <v>1</v>
      </c>
      <c r="N865" s="6">
        <v>0</v>
      </c>
      <c r="Q865" s="2" t="s">
        <v>19</v>
      </c>
    </row>
    <row r="866" spans="1:17" ht="68" x14ac:dyDescent="0.2">
      <c r="A866" t="s">
        <v>189</v>
      </c>
      <c r="B866" t="s">
        <v>115</v>
      </c>
      <c r="C866" t="s">
        <v>16</v>
      </c>
      <c r="D866" s="3">
        <v>44302</v>
      </c>
      <c r="E866" s="1">
        <v>44302.476678240739</v>
      </c>
      <c r="F866" t="s">
        <v>17</v>
      </c>
      <c r="G866" t="s">
        <v>53</v>
      </c>
      <c r="H866" s="1">
        <v>44302.395833333336</v>
      </c>
      <c r="I866" s="1">
        <v>44302.489583333336</v>
      </c>
      <c r="J866" s="4">
        <f t="shared" si="13"/>
        <v>9.375E-2</v>
      </c>
      <c r="K866" t="s">
        <v>199</v>
      </c>
      <c r="M866">
        <v>1</v>
      </c>
      <c r="N866" s="6">
        <v>0</v>
      </c>
      <c r="O866" t="s">
        <v>93</v>
      </c>
      <c r="Q866" s="2" t="s">
        <v>19</v>
      </c>
    </row>
    <row r="867" spans="1:17" ht="68" x14ac:dyDescent="0.2">
      <c r="A867" t="s">
        <v>189</v>
      </c>
      <c r="B867" t="s">
        <v>115</v>
      </c>
      <c r="C867" t="s">
        <v>16</v>
      </c>
      <c r="D867" s="3">
        <v>44302</v>
      </c>
      <c r="E867" s="1">
        <v>44302.486840277779</v>
      </c>
      <c r="F867" t="s">
        <v>17</v>
      </c>
      <c r="G867" t="s">
        <v>53</v>
      </c>
      <c r="H867" s="1">
        <v>44302.395833333336</v>
      </c>
      <c r="I867" s="1">
        <v>44302.489583333336</v>
      </c>
      <c r="J867" s="4">
        <f t="shared" si="13"/>
        <v>9.375E-2</v>
      </c>
      <c r="K867" t="s">
        <v>199</v>
      </c>
      <c r="M867">
        <v>0</v>
      </c>
      <c r="N867" s="5" t="s">
        <v>144</v>
      </c>
      <c r="Q867" s="2" t="s">
        <v>19</v>
      </c>
    </row>
    <row r="868" spans="1:17" ht="68" x14ac:dyDescent="0.2">
      <c r="A868" t="s">
        <v>189</v>
      </c>
      <c r="B868" t="s">
        <v>115</v>
      </c>
      <c r="C868" t="s">
        <v>16</v>
      </c>
      <c r="D868" s="3">
        <v>44302</v>
      </c>
      <c r="E868" s="1">
        <v>44302.592013888891</v>
      </c>
      <c r="F868" t="s">
        <v>17</v>
      </c>
      <c r="G868" t="s">
        <v>54</v>
      </c>
      <c r="H868" s="1">
        <v>44302.53125</v>
      </c>
      <c r="I868" s="1">
        <v>44302.666666666664</v>
      </c>
      <c r="J868" s="4">
        <f t="shared" si="13"/>
        <v>0.13541666666424135</v>
      </c>
      <c r="K868" t="s">
        <v>195</v>
      </c>
      <c r="M868">
        <v>10</v>
      </c>
      <c r="N868" s="6">
        <v>0</v>
      </c>
      <c r="Q868" s="2" t="s">
        <v>19</v>
      </c>
    </row>
    <row r="869" spans="1:17" ht="68" x14ac:dyDescent="0.2">
      <c r="A869" t="s">
        <v>189</v>
      </c>
      <c r="B869" t="s">
        <v>115</v>
      </c>
      <c r="C869" t="s">
        <v>16</v>
      </c>
      <c r="D869" s="3">
        <v>44302</v>
      </c>
      <c r="E869" s="1">
        <v>44302.66034722222</v>
      </c>
      <c r="F869" t="s">
        <v>17</v>
      </c>
      <c r="G869" t="s">
        <v>54</v>
      </c>
      <c r="H869" s="1">
        <v>44302.53125</v>
      </c>
      <c r="I869" s="1">
        <v>44302.666666666664</v>
      </c>
      <c r="J869" s="4">
        <f t="shared" si="13"/>
        <v>0.13541666666424135</v>
      </c>
      <c r="K869" t="s">
        <v>195</v>
      </c>
      <c r="M869">
        <v>8</v>
      </c>
      <c r="N869" s="6">
        <v>0</v>
      </c>
      <c r="Q869" s="2" t="s">
        <v>19</v>
      </c>
    </row>
    <row r="870" spans="1:17" ht="68" x14ac:dyDescent="0.2">
      <c r="A870" t="s">
        <v>189</v>
      </c>
      <c r="B870" t="s">
        <v>115</v>
      </c>
      <c r="C870" t="s">
        <v>16</v>
      </c>
      <c r="D870" s="3">
        <v>44307</v>
      </c>
      <c r="E870" s="1">
        <v>44307.489027777781</v>
      </c>
      <c r="F870" t="s">
        <v>17</v>
      </c>
      <c r="G870" t="s">
        <v>36</v>
      </c>
      <c r="H870" s="1">
        <v>44307.375</v>
      </c>
      <c r="I870" s="1">
        <v>44307.489583333336</v>
      </c>
      <c r="J870" s="4">
        <f t="shared" si="13"/>
        <v>0.11458333333575865</v>
      </c>
      <c r="K870" t="s">
        <v>197</v>
      </c>
      <c r="M870">
        <v>17</v>
      </c>
      <c r="N870" s="6">
        <v>0</v>
      </c>
      <c r="Q870" s="2" t="s">
        <v>19</v>
      </c>
    </row>
    <row r="871" spans="1:17" ht="68" x14ac:dyDescent="0.2">
      <c r="A871" t="s">
        <v>189</v>
      </c>
      <c r="B871" t="s">
        <v>115</v>
      </c>
      <c r="C871" t="s">
        <v>16</v>
      </c>
      <c r="D871" s="3">
        <v>44307</v>
      </c>
      <c r="E871" s="1">
        <v>44307.651226851849</v>
      </c>
      <c r="F871" t="s">
        <v>17</v>
      </c>
      <c r="G871" t="s">
        <v>37</v>
      </c>
      <c r="H871" s="1">
        <v>44307.53125</v>
      </c>
      <c r="I871" s="1">
        <v>44307.666666666664</v>
      </c>
      <c r="J871" s="4">
        <f t="shared" si="13"/>
        <v>0.13541666666424135</v>
      </c>
      <c r="K871" t="s">
        <v>195</v>
      </c>
      <c r="M871">
        <v>46</v>
      </c>
      <c r="N871" s="6">
        <v>0</v>
      </c>
      <c r="Q871" s="2" t="s">
        <v>19</v>
      </c>
    </row>
    <row r="872" spans="1:17" ht="68" x14ac:dyDescent="0.2">
      <c r="A872" t="s">
        <v>189</v>
      </c>
      <c r="B872" t="s">
        <v>115</v>
      </c>
      <c r="C872" t="s">
        <v>16</v>
      </c>
      <c r="D872" s="3">
        <v>44308</v>
      </c>
      <c r="E872" s="1">
        <v>44308.503981481481</v>
      </c>
      <c r="F872" t="s">
        <v>17</v>
      </c>
      <c r="G872" t="s">
        <v>55</v>
      </c>
      <c r="H872" s="1">
        <v>44308.375</v>
      </c>
      <c r="I872" s="1">
        <v>44308.510416666664</v>
      </c>
      <c r="J872" s="4">
        <f t="shared" si="13"/>
        <v>0.13541666666424135</v>
      </c>
      <c r="K872" t="s">
        <v>200</v>
      </c>
      <c r="M872">
        <v>0</v>
      </c>
      <c r="N872" s="6">
        <v>0</v>
      </c>
      <c r="Q872" s="2" t="s">
        <v>19</v>
      </c>
    </row>
    <row r="873" spans="1:17" ht="68" x14ac:dyDescent="0.2">
      <c r="A873" t="s">
        <v>189</v>
      </c>
      <c r="B873" t="s">
        <v>115</v>
      </c>
      <c r="C873" t="s">
        <v>16</v>
      </c>
      <c r="D873" s="3">
        <v>44308</v>
      </c>
      <c r="E873" s="1">
        <v>44308.664502314816</v>
      </c>
      <c r="F873" t="s">
        <v>17</v>
      </c>
      <c r="G873" t="s">
        <v>56</v>
      </c>
      <c r="H873" s="1">
        <v>44308.541666666664</v>
      </c>
      <c r="I873" s="1">
        <v>44308.666666666664</v>
      </c>
      <c r="J873" s="4">
        <f t="shared" si="13"/>
        <v>0.125</v>
      </c>
      <c r="K873" t="s">
        <v>192</v>
      </c>
      <c r="M873">
        <v>0</v>
      </c>
      <c r="N873" s="6">
        <v>0</v>
      </c>
      <c r="Q873" s="2" t="s">
        <v>19</v>
      </c>
    </row>
    <row r="874" spans="1:17" ht="68" x14ac:dyDescent="0.2">
      <c r="A874" t="s">
        <v>189</v>
      </c>
      <c r="B874" t="s">
        <v>115</v>
      </c>
      <c r="C874" t="s">
        <v>16</v>
      </c>
      <c r="D874" s="3">
        <v>44309</v>
      </c>
      <c r="E874" s="1">
        <v>44309.416250000002</v>
      </c>
      <c r="F874" t="s">
        <v>17</v>
      </c>
      <c r="G874" t="s">
        <v>100</v>
      </c>
      <c r="H874" s="1">
        <v>44309.375</v>
      </c>
      <c r="I874" s="1">
        <v>44309.489583333336</v>
      </c>
      <c r="J874" s="4">
        <f t="shared" si="13"/>
        <v>0.11458333333575865</v>
      </c>
      <c r="K874" t="s">
        <v>222</v>
      </c>
      <c r="M874">
        <v>4</v>
      </c>
      <c r="N874" s="6">
        <v>0</v>
      </c>
      <c r="Q874" s="2" t="s">
        <v>19</v>
      </c>
    </row>
    <row r="875" spans="1:17" ht="68" x14ac:dyDescent="0.2">
      <c r="A875" t="s">
        <v>189</v>
      </c>
      <c r="B875" t="s">
        <v>115</v>
      </c>
      <c r="C875" t="s">
        <v>16</v>
      </c>
      <c r="D875" s="3">
        <v>44309</v>
      </c>
      <c r="E875" s="1">
        <v>44309.632106481484</v>
      </c>
      <c r="F875" t="s">
        <v>17</v>
      </c>
      <c r="G875" t="s">
        <v>42</v>
      </c>
      <c r="H875" s="1">
        <v>44309.53125</v>
      </c>
      <c r="I875" s="1">
        <v>44309.666666666664</v>
      </c>
      <c r="J875" s="4">
        <f t="shared" si="13"/>
        <v>0.13541666666424135</v>
      </c>
      <c r="K875" t="s">
        <v>207</v>
      </c>
      <c r="M875">
        <v>5</v>
      </c>
      <c r="N875" s="6">
        <v>0</v>
      </c>
      <c r="Q875" s="2" t="s">
        <v>19</v>
      </c>
    </row>
    <row r="876" spans="1:17" ht="68" x14ac:dyDescent="0.2">
      <c r="A876" t="s">
        <v>189</v>
      </c>
      <c r="B876" t="s">
        <v>115</v>
      </c>
      <c r="C876" t="s">
        <v>16</v>
      </c>
      <c r="D876" s="3">
        <v>44312</v>
      </c>
      <c r="E876" s="1">
        <v>44312.509236111109</v>
      </c>
      <c r="F876" t="s">
        <v>17</v>
      </c>
      <c r="G876" t="s">
        <v>44</v>
      </c>
      <c r="H876" s="1">
        <v>44312.375</v>
      </c>
      <c r="I876" s="1">
        <v>44312.510416666664</v>
      </c>
      <c r="J876" s="4">
        <f t="shared" si="13"/>
        <v>0.13541666666424135</v>
      </c>
      <c r="K876" t="s">
        <v>201</v>
      </c>
      <c r="M876">
        <v>27</v>
      </c>
      <c r="N876" s="6">
        <v>0</v>
      </c>
      <c r="Q876" s="2" t="s">
        <v>19</v>
      </c>
    </row>
    <row r="877" spans="1:17" ht="68" x14ac:dyDescent="0.2">
      <c r="A877" t="s">
        <v>189</v>
      </c>
      <c r="B877" t="s">
        <v>115</v>
      </c>
      <c r="C877" t="s">
        <v>16</v>
      </c>
      <c r="D877" s="3">
        <v>44312</v>
      </c>
      <c r="E877" s="1">
        <v>44312.658946759257</v>
      </c>
      <c r="F877" t="s">
        <v>17</v>
      </c>
      <c r="G877" t="s">
        <v>57</v>
      </c>
      <c r="H877" s="1">
        <v>44312.53125</v>
      </c>
      <c r="I877" s="1">
        <v>44312.666666666664</v>
      </c>
      <c r="J877" s="4">
        <f t="shared" si="13"/>
        <v>0.13541666666424135</v>
      </c>
      <c r="K877" t="s">
        <v>195</v>
      </c>
      <c r="M877">
        <v>44</v>
      </c>
      <c r="N877" s="6">
        <v>0</v>
      </c>
      <c r="Q877" s="2" t="s">
        <v>19</v>
      </c>
    </row>
    <row r="878" spans="1:17" ht="68" x14ac:dyDescent="0.2">
      <c r="A878" t="s">
        <v>189</v>
      </c>
      <c r="B878" t="s">
        <v>115</v>
      </c>
      <c r="C878" t="s">
        <v>16</v>
      </c>
      <c r="D878" s="3">
        <v>44313</v>
      </c>
      <c r="E878" s="1">
        <v>44313.487719907411</v>
      </c>
      <c r="F878" t="s">
        <v>17</v>
      </c>
      <c r="G878" t="s">
        <v>55</v>
      </c>
      <c r="H878" s="1">
        <v>44313.375</v>
      </c>
      <c r="I878" s="1">
        <v>44313.489583333336</v>
      </c>
      <c r="J878" s="4">
        <f t="shared" si="13"/>
        <v>0.11458333333575865</v>
      </c>
      <c r="K878" t="s">
        <v>200</v>
      </c>
      <c r="M878">
        <v>27</v>
      </c>
      <c r="N878" s="6">
        <v>0</v>
      </c>
      <c r="Q878" s="2" t="s">
        <v>19</v>
      </c>
    </row>
    <row r="879" spans="1:17" ht="68" x14ac:dyDescent="0.2">
      <c r="A879" t="s">
        <v>189</v>
      </c>
      <c r="B879" t="s">
        <v>115</v>
      </c>
      <c r="C879" t="s">
        <v>16</v>
      </c>
      <c r="D879" s="3">
        <v>44313</v>
      </c>
      <c r="E879" s="1">
        <v>44313.539502314816</v>
      </c>
      <c r="F879" t="s">
        <v>17</v>
      </c>
      <c r="G879" t="s">
        <v>37</v>
      </c>
      <c r="H879" s="1">
        <v>44313.53125</v>
      </c>
      <c r="I879" s="1">
        <v>44313.541666666664</v>
      </c>
      <c r="J879" s="4">
        <f t="shared" si="13"/>
        <v>1.0416666664241347E-2</v>
      </c>
      <c r="K879" t="s">
        <v>202</v>
      </c>
      <c r="M879">
        <v>0</v>
      </c>
      <c r="N879" s="6">
        <v>0</v>
      </c>
      <c r="Q879" s="2" t="s">
        <v>19</v>
      </c>
    </row>
    <row r="880" spans="1:17" ht="68" x14ac:dyDescent="0.2">
      <c r="A880" t="s">
        <v>189</v>
      </c>
      <c r="B880" t="s">
        <v>115</v>
      </c>
      <c r="C880" t="s">
        <v>16</v>
      </c>
      <c r="D880" s="3">
        <v>44313</v>
      </c>
      <c r="E880" s="1">
        <v>44313.664456018516</v>
      </c>
      <c r="F880" t="s">
        <v>17</v>
      </c>
      <c r="G880" t="s">
        <v>58</v>
      </c>
      <c r="H880" s="1">
        <v>44313.541666666664</v>
      </c>
      <c r="I880" s="1">
        <v>44313.666666666664</v>
      </c>
      <c r="J880" s="4">
        <f t="shared" si="13"/>
        <v>0.125</v>
      </c>
      <c r="K880" t="s">
        <v>192</v>
      </c>
      <c r="M880">
        <v>5</v>
      </c>
      <c r="N880" s="6">
        <v>0</v>
      </c>
      <c r="Q880" s="2" t="s">
        <v>19</v>
      </c>
    </row>
    <row r="881" spans="1:17" ht="68" x14ac:dyDescent="0.2">
      <c r="A881" t="s">
        <v>189</v>
      </c>
      <c r="B881" t="s">
        <v>115</v>
      </c>
      <c r="C881" t="s">
        <v>16</v>
      </c>
      <c r="D881" s="3">
        <v>44314</v>
      </c>
      <c r="E881" s="1">
        <v>44314.491851851853</v>
      </c>
      <c r="F881" t="s">
        <v>17</v>
      </c>
      <c r="G881" t="s">
        <v>53</v>
      </c>
      <c r="H881" s="1">
        <v>44314.375</v>
      </c>
      <c r="I881" s="1">
        <v>44314.489583333336</v>
      </c>
      <c r="J881" s="4">
        <f t="shared" si="13"/>
        <v>0.11458333333575865</v>
      </c>
      <c r="K881" t="s">
        <v>203</v>
      </c>
      <c r="M881">
        <v>26</v>
      </c>
      <c r="N881" s="6">
        <v>0</v>
      </c>
      <c r="Q881" s="2" t="s">
        <v>19</v>
      </c>
    </row>
    <row r="882" spans="1:17" ht="68" x14ac:dyDescent="0.2">
      <c r="A882" t="s">
        <v>189</v>
      </c>
      <c r="B882" t="s">
        <v>115</v>
      </c>
      <c r="C882" t="s">
        <v>16</v>
      </c>
      <c r="D882" s="3">
        <v>44314</v>
      </c>
      <c r="E882" s="1">
        <v>44314.497395833336</v>
      </c>
      <c r="F882" t="s">
        <v>17</v>
      </c>
      <c r="G882" t="s">
        <v>53</v>
      </c>
      <c r="H882" s="1">
        <v>44314.375</v>
      </c>
      <c r="I882" s="1">
        <v>44314.489583333336</v>
      </c>
      <c r="J882" s="4">
        <f t="shared" si="13"/>
        <v>0.11458333333575865</v>
      </c>
      <c r="K882" t="s">
        <v>203</v>
      </c>
      <c r="M882">
        <v>0</v>
      </c>
      <c r="N882" s="6">
        <v>0</v>
      </c>
      <c r="Q882" s="2" t="s">
        <v>19</v>
      </c>
    </row>
    <row r="883" spans="1:17" ht="68" x14ac:dyDescent="0.2">
      <c r="A883" t="s">
        <v>189</v>
      </c>
      <c r="B883" t="s">
        <v>115</v>
      </c>
      <c r="C883" t="s">
        <v>16</v>
      </c>
      <c r="D883" s="3">
        <v>44314</v>
      </c>
      <c r="E883" s="1">
        <v>44314.65966435185</v>
      </c>
      <c r="F883" t="s">
        <v>17</v>
      </c>
      <c r="G883" t="s">
        <v>59</v>
      </c>
      <c r="H883" s="1">
        <v>44314.53125</v>
      </c>
      <c r="I883" s="1">
        <v>44314.666666666664</v>
      </c>
      <c r="J883" s="4">
        <f t="shared" si="13"/>
        <v>0.13541666666424135</v>
      </c>
      <c r="K883" t="s">
        <v>195</v>
      </c>
      <c r="M883">
        <v>4</v>
      </c>
      <c r="N883" s="6">
        <v>0</v>
      </c>
      <c r="Q883" s="2" t="s">
        <v>19</v>
      </c>
    </row>
    <row r="884" spans="1:17" ht="68" x14ac:dyDescent="0.2">
      <c r="A884" t="s">
        <v>189</v>
      </c>
      <c r="B884" t="s">
        <v>115</v>
      </c>
      <c r="C884" t="s">
        <v>16</v>
      </c>
      <c r="D884" s="3">
        <v>44315</v>
      </c>
      <c r="E884" s="1">
        <v>44315.485543981478</v>
      </c>
      <c r="F884" t="s">
        <v>17</v>
      </c>
      <c r="G884" t="s">
        <v>43</v>
      </c>
      <c r="H884" s="1">
        <v>44315.375</v>
      </c>
      <c r="I884" s="1">
        <v>44315.489583333336</v>
      </c>
      <c r="J884" s="4">
        <f t="shared" si="13"/>
        <v>0.11458333333575865</v>
      </c>
      <c r="K884" t="s">
        <v>200</v>
      </c>
      <c r="M884">
        <v>17</v>
      </c>
      <c r="N884" s="6">
        <v>0</v>
      </c>
      <c r="Q884" s="2" t="s">
        <v>19</v>
      </c>
    </row>
    <row r="885" spans="1:17" ht="68" x14ac:dyDescent="0.2">
      <c r="A885" t="s">
        <v>189</v>
      </c>
      <c r="B885" t="s">
        <v>115</v>
      </c>
      <c r="C885" t="s">
        <v>16</v>
      </c>
      <c r="D885" s="3">
        <v>44315</v>
      </c>
      <c r="E885" s="1">
        <v>44315.54246527778</v>
      </c>
      <c r="F885" t="s">
        <v>17</v>
      </c>
      <c r="G885" t="s">
        <v>35</v>
      </c>
      <c r="H885" s="1">
        <v>44315.53125</v>
      </c>
      <c r="I885" s="1">
        <v>44315.541666666664</v>
      </c>
      <c r="J885" s="4">
        <f t="shared" si="13"/>
        <v>1.0416666664241347E-2</v>
      </c>
      <c r="K885" t="s">
        <v>202</v>
      </c>
      <c r="M885">
        <v>0</v>
      </c>
      <c r="N885" s="6">
        <v>0</v>
      </c>
      <c r="Q885" s="2" t="s">
        <v>19</v>
      </c>
    </row>
    <row r="886" spans="1:17" ht="68" x14ac:dyDescent="0.2">
      <c r="A886" t="s">
        <v>189</v>
      </c>
      <c r="B886" t="s">
        <v>115</v>
      </c>
      <c r="C886" t="s">
        <v>16</v>
      </c>
      <c r="D886" s="3">
        <v>44315</v>
      </c>
      <c r="E886" s="1">
        <v>44315.647974537038</v>
      </c>
      <c r="F886" t="s">
        <v>17</v>
      </c>
      <c r="G886" t="s">
        <v>60</v>
      </c>
      <c r="H886" s="1">
        <v>44315.541666666664</v>
      </c>
      <c r="I886" s="1">
        <v>44315.666666666664</v>
      </c>
      <c r="J886" s="4">
        <f t="shared" si="13"/>
        <v>0.125</v>
      </c>
      <c r="K886" t="s">
        <v>192</v>
      </c>
      <c r="M886">
        <v>2</v>
      </c>
      <c r="N886" s="6">
        <v>0</v>
      </c>
      <c r="Q886" s="2" t="s">
        <v>19</v>
      </c>
    </row>
    <row r="887" spans="1:17" ht="68" x14ac:dyDescent="0.2">
      <c r="A887" t="s">
        <v>189</v>
      </c>
      <c r="B887" t="s">
        <v>115</v>
      </c>
      <c r="C887" t="s">
        <v>16</v>
      </c>
      <c r="D887" s="3">
        <v>44316</v>
      </c>
      <c r="E887" s="1">
        <v>44316.501006944447</v>
      </c>
      <c r="F887" t="s">
        <v>17</v>
      </c>
      <c r="G887" t="s">
        <v>61</v>
      </c>
      <c r="H887" s="1">
        <v>44316.375</v>
      </c>
      <c r="I887" s="1">
        <v>44316.489583333336</v>
      </c>
      <c r="J887" s="4">
        <f t="shared" si="13"/>
        <v>0.11458333333575865</v>
      </c>
      <c r="K887" t="s">
        <v>204</v>
      </c>
      <c r="M887">
        <v>28</v>
      </c>
      <c r="N887" s="6">
        <v>0</v>
      </c>
      <c r="Q887" s="2" t="s">
        <v>19</v>
      </c>
    </row>
    <row r="888" spans="1:17" ht="68" x14ac:dyDescent="0.2">
      <c r="A888" t="s">
        <v>189</v>
      </c>
      <c r="B888" t="s">
        <v>115</v>
      </c>
      <c r="C888" t="s">
        <v>16</v>
      </c>
      <c r="D888" s="3">
        <v>44316</v>
      </c>
      <c r="E888" s="1">
        <v>44316.646180555559</v>
      </c>
      <c r="F888" t="s">
        <v>17</v>
      </c>
      <c r="G888" t="s">
        <v>62</v>
      </c>
      <c r="H888" s="1">
        <v>44316.510416666664</v>
      </c>
      <c r="I888" s="1">
        <v>44316.65625</v>
      </c>
      <c r="J888" s="4">
        <f t="shared" si="13"/>
        <v>0.14583333333575865</v>
      </c>
      <c r="K888" t="s">
        <v>195</v>
      </c>
      <c r="M888">
        <v>5</v>
      </c>
      <c r="N888" s="6">
        <v>0</v>
      </c>
      <c r="Q888" s="2" t="s">
        <v>19</v>
      </c>
    </row>
    <row r="889" spans="1:17" ht="68" x14ac:dyDescent="0.2">
      <c r="A889" t="s">
        <v>189</v>
      </c>
      <c r="B889" t="s">
        <v>115</v>
      </c>
      <c r="C889" t="s">
        <v>16</v>
      </c>
      <c r="D889" s="3">
        <v>44319</v>
      </c>
      <c r="E889" s="1">
        <v>44319.483865740738</v>
      </c>
      <c r="F889" t="s">
        <v>17</v>
      </c>
      <c r="G889" t="s">
        <v>63</v>
      </c>
      <c r="H889" s="1">
        <v>44319.385416666664</v>
      </c>
      <c r="I889" s="1">
        <v>44319.489583333336</v>
      </c>
      <c r="J889" s="4">
        <f t="shared" si="13"/>
        <v>0.10416666667151731</v>
      </c>
      <c r="K889" t="s">
        <v>199</v>
      </c>
      <c r="M889">
        <v>0</v>
      </c>
      <c r="N889" s="6">
        <v>0</v>
      </c>
      <c r="Q889" s="2" t="s">
        <v>19</v>
      </c>
    </row>
    <row r="890" spans="1:17" ht="68" x14ac:dyDescent="0.2">
      <c r="A890" t="s">
        <v>189</v>
      </c>
      <c r="B890" t="s">
        <v>115</v>
      </c>
      <c r="C890" t="s">
        <v>16</v>
      </c>
      <c r="D890" s="3">
        <v>44319</v>
      </c>
      <c r="E890" s="1">
        <v>44319.659594907411</v>
      </c>
      <c r="F890" t="s">
        <v>17</v>
      </c>
      <c r="G890" t="s">
        <v>45</v>
      </c>
      <c r="H890" s="1">
        <v>44319.53125</v>
      </c>
      <c r="I890" s="1">
        <v>44319.666666666664</v>
      </c>
      <c r="J890" s="4">
        <f t="shared" si="13"/>
        <v>0.13541666666424135</v>
      </c>
      <c r="K890" t="s">
        <v>195</v>
      </c>
      <c r="M890">
        <v>76</v>
      </c>
      <c r="N890" s="6">
        <v>0</v>
      </c>
      <c r="Q890" s="2" t="s">
        <v>19</v>
      </c>
    </row>
    <row r="891" spans="1:17" ht="68" x14ac:dyDescent="0.2">
      <c r="A891" t="s">
        <v>189</v>
      </c>
      <c r="B891" t="s">
        <v>115</v>
      </c>
      <c r="C891" t="s">
        <v>16</v>
      </c>
      <c r="D891" s="3">
        <v>44320</v>
      </c>
      <c r="E891" s="1">
        <v>44320.487118055556</v>
      </c>
      <c r="F891" t="s">
        <v>17</v>
      </c>
      <c r="G891" t="s">
        <v>64</v>
      </c>
      <c r="H891" s="1">
        <v>44320.380555555559</v>
      </c>
      <c r="I891" s="1">
        <v>44320.492361111108</v>
      </c>
      <c r="J891" s="4">
        <f t="shared" si="13"/>
        <v>0.11180555554892635</v>
      </c>
      <c r="K891" t="s">
        <v>205</v>
      </c>
      <c r="M891">
        <v>0</v>
      </c>
      <c r="N891" s="6">
        <v>0</v>
      </c>
      <c r="Q891" s="2" t="s">
        <v>19</v>
      </c>
    </row>
    <row r="892" spans="1:17" ht="68" x14ac:dyDescent="0.2">
      <c r="A892" t="s">
        <v>189</v>
      </c>
      <c r="B892" t="s">
        <v>115</v>
      </c>
      <c r="C892" t="s">
        <v>16</v>
      </c>
      <c r="D892" s="3">
        <v>44321</v>
      </c>
      <c r="E892" s="1">
        <v>44321.415995370371</v>
      </c>
      <c r="F892" t="s">
        <v>17</v>
      </c>
      <c r="G892" t="s">
        <v>36</v>
      </c>
      <c r="H892" s="1">
        <v>44321.395833333336</v>
      </c>
      <c r="I892" s="1">
        <v>44321.489583333336</v>
      </c>
      <c r="J892" s="4">
        <f t="shared" si="13"/>
        <v>9.375E-2</v>
      </c>
      <c r="K892" t="s">
        <v>206</v>
      </c>
      <c r="M892">
        <v>1</v>
      </c>
      <c r="N892" s="6">
        <v>0</v>
      </c>
      <c r="O892" t="s">
        <v>93</v>
      </c>
      <c r="P892" t="s">
        <v>86</v>
      </c>
      <c r="Q892" s="2" t="s">
        <v>19</v>
      </c>
    </row>
    <row r="893" spans="1:17" ht="68" x14ac:dyDescent="0.2">
      <c r="A893" t="s">
        <v>189</v>
      </c>
      <c r="B893" t="s">
        <v>115</v>
      </c>
      <c r="C893" t="s">
        <v>16</v>
      </c>
      <c r="D893" s="3">
        <v>44321</v>
      </c>
      <c r="E893" s="1">
        <v>44321.416678240741</v>
      </c>
      <c r="F893" t="s">
        <v>17</v>
      </c>
      <c r="G893" t="s">
        <v>36</v>
      </c>
      <c r="H893" s="1">
        <v>44321.395833333336</v>
      </c>
      <c r="I893" s="1">
        <v>44321.489583333336</v>
      </c>
      <c r="J893" s="4">
        <f t="shared" si="13"/>
        <v>9.375E-2</v>
      </c>
      <c r="K893" t="s">
        <v>206</v>
      </c>
      <c r="M893">
        <v>1</v>
      </c>
      <c r="N893" s="6">
        <v>0</v>
      </c>
      <c r="O893" t="s">
        <v>88</v>
      </c>
      <c r="P893" t="s">
        <v>86</v>
      </c>
      <c r="Q893" s="2" t="s">
        <v>19</v>
      </c>
    </row>
    <row r="894" spans="1:17" ht="68" x14ac:dyDescent="0.2">
      <c r="A894" t="s">
        <v>189</v>
      </c>
      <c r="B894" t="s">
        <v>115</v>
      </c>
      <c r="C894" t="s">
        <v>16</v>
      </c>
      <c r="D894" s="3">
        <v>44321</v>
      </c>
      <c r="E894" s="1">
        <v>44321.431562500002</v>
      </c>
      <c r="F894" t="s">
        <v>17</v>
      </c>
      <c r="G894" t="s">
        <v>36</v>
      </c>
      <c r="H894" s="1">
        <v>44321.395833333336</v>
      </c>
      <c r="I894" s="1">
        <v>44321.489583333336</v>
      </c>
      <c r="J894" s="4">
        <f t="shared" si="13"/>
        <v>9.375E-2</v>
      </c>
      <c r="K894" t="s">
        <v>206</v>
      </c>
      <c r="M894">
        <v>1</v>
      </c>
      <c r="N894" s="6">
        <v>0</v>
      </c>
      <c r="O894" t="s">
        <v>93</v>
      </c>
      <c r="P894" t="s">
        <v>86</v>
      </c>
      <c r="Q894" s="2" t="s">
        <v>19</v>
      </c>
    </row>
    <row r="895" spans="1:17" ht="68" x14ac:dyDescent="0.2">
      <c r="A895" t="s">
        <v>189</v>
      </c>
      <c r="B895" t="s">
        <v>115</v>
      </c>
      <c r="C895" t="s">
        <v>16</v>
      </c>
      <c r="D895" s="3">
        <v>44321</v>
      </c>
      <c r="E895" s="1">
        <v>44321.663460648146</v>
      </c>
      <c r="F895" t="s">
        <v>17</v>
      </c>
      <c r="G895" t="s">
        <v>66</v>
      </c>
      <c r="H895" s="1">
        <v>44321.510416666664</v>
      </c>
      <c r="I895" s="1">
        <v>44321.666666666664</v>
      </c>
      <c r="J895" s="4">
        <f t="shared" si="13"/>
        <v>0.15625</v>
      </c>
      <c r="K895" t="s">
        <v>195</v>
      </c>
      <c r="M895">
        <v>8</v>
      </c>
      <c r="N895" s="6">
        <v>0</v>
      </c>
      <c r="Q895" s="2" t="s">
        <v>19</v>
      </c>
    </row>
    <row r="896" spans="1:17" ht="68" x14ac:dyDescent="0.2">
      <c r="A896" t="s">
        <v>189</v>
      </c>
      <c r="B896" t="s">
        <v>115</v>
      </c>
      <c r="C896" t="s">
        <v>16</v>
      </c>
      <c r="D896" s="3">
        <v>44323</v>
      </c>
      <c r="E896" s="1">
        <v>44323.487974537034</v>
      </c>
      <c r="F896" t="s">
        <v>17</v>
      </c>
      <c r="G896" t="s">
        <v>61</v>
      </c>
      <c r="H896" s="1">
        <v>44323.375</v>
      </c>
      <c r="I896" s="1">
        <v>44323.489583333336</v>
      </c>
      <c r="J896" s="4">
        <f t="shared" si="13"/>
        <v>0.11458333333575865</v>
      </c>
      <c r="K896" t="s">
        <v>206</v>
      </c>
      <c r="M896">
        <v>24</v>
      </c>
      <c r="N896" s="6">
        <v>0</v>
      </c>
      <c r="Q896" s="2" t="s">
        <v>19</v>
      </c>
    </row>
    <row r="897" spans="1:17" ht="68" x14ac:dyDescent="0.2">
      <c r="A897" t="s">
        <v>189</v>
      </c>
      <c r="B897" t="s">
        <v>115</v>
      </c>
      <c r="C897" t="s">
        <v>16</v>
      </c>
      <c r="D897" s="3">
        <v>44323</v>
      </c>
      <c r="E897" s="1">
        <v>44323.530173611114</v>
      </c>
      <c r="F897" t="s">
        <v>17</v>
      </c>
      <c r="G897" t="s">
        <v>67</v>
      </c>
      <c r="H897" s="1">
        <v>44323.510416666664</v>
      </c>
      <c r="I897" s="1">
        <v>44323.666666666664</v>
      </c>
      <c r="J897" s="4">
        <f t="shared" si="13"/>
        <v>0.15625</v>
      </c>
      <c r="K897" t="s">
        <v>207</v>
      </c>
      <c r="M897">
        <v>29</v>
      </c>
      <c r="N897" s="6">
        <v>0</v>
      </c>
      <c r="Q897" s="2" t="s">
        <v>19</v>
      </c>
    </row>
    <row r="898" spans="1:17" ht="68" x14ac:dyDescent="0.2">
      <c r="A898" t="s">
        <v>189</v>
      </c>
      <c r="B898" t="s">
        <v>115</v>
      </c>
      <c r="C898" t="s">
        <v>16</v>
      </c>
      <c r="D898" s="3">
        <v>44326</v>
      </c>
      <c r="E898" s="1">
        <v>44326.489525462966</v>
      </c>
      <c r="F898" t="s">
        <v>17</v>
      </c>
      <c r="G898" t="s">
        <v>63</v>
      </c>
      <c r="H898" s="1">
        <v>44326.375</v>
      </c>
      <c r="I898" s="1">
        <v>44326.489583333336</v>
      </c>
      <c r="J898" s="4">
        <f t="shared" si="13"/>
        <v>0.11458333333575865</v>
      </c>
      <c r="K898" t="s">
        <v>199</v>
      </c>
      <c r="M898">
        <v>50</v>
      </c>
      <c r="N898" s="6">
        <v>0</v>
      </c>
      <c r="Q898" s="2" t="s">
        <v>19</v>
      </c>
    </row>
    <row r="899" spans="1:17" ht="68" x14ac:dyDescent="0.2">
      <c r="A899" t="s">
        <v>189</v>
      </c>
      <c r="B899" t="s">
        <v>115</v>
      </c>
      <c r="C899" t="s">
        <v>16</v>
      </c>
      <c r="D899" s="3">
        <v>44326</v>
      </c>
      <c r="E899" s="1">
        <v>44326.665405092594</v>
      </c>
      <c r="F899" t="s">
        <v>17</v>
      </c>
      <c r="G899" t="s">
        <v>59</v>
      </c>
      <c r="H899" s="1">
        <v>44326.53125</v>
      </c>
      <c r="I899" s="1">
        <v>44326.666666666664</v>
      </c>
      <c r="J899" s="4">
        <f t="shared" ref="J899:J962" si="14">IF($I899="","",$I899-$H899)</f>
        <v>0.13541666666424135</v>
      </c>
      <c r="K899" t="s">
        <v>195</v>
      </c>
      <c r="M899">
        <v>21</v>
      </c>
      <c r="N899" s="6">
        <v>0</v>
      </c>
      <c r="Q899" s="2" t="s">
        <v>19</v>
      </c>
    </row>
    <row r="900" spans="1:17" ht="68" x14ac:dyDescent="0.2">
      <c r="A900" t="s">
        <v>189</v>
      </c>
      <c r="B900" t="s">
        <v>115</v>
      </c>
      <c r="C900" t="s">
        <v>16</v>
      </c>
      <c r="D900" s="3">
        <v>44327</v>
      </c>
      <c r="E900" s="1">
        <v>44327.49422453704</v>
      </c>
      <c r="F900" t="s">
        <v>17</v>
      </c>
      <c r="G900" t="s">
        <v>101</v>
      </c>
      <c r="H900" s="1">
        <v>44327.489583333336</v>
      </c>
      <c r="I900" s="1">
        <v>44327.5</v>
      </c>
      <c r="J900" s="4">
        <f t="shared" si="14"/>
        <v>1.0416666664241347E-2</v>
      </c>
      <c r="K900" t="s">
        <v>190</v>
      </c>
      <c r="M900">
        <v>17</v>
      </c>
      <c r="N900" s="6">
        <v>0</v>
      </c>
      <c r="Q900" s="2" t="s">
        <v>19</v>
      </c>
    </row>
    <row r="901" spans="1:17" ht="68" x14ac:dyDescent="0.2">
      <c r="A901" t="s">
        <v>189</v>
      </c>
      <c r="B901" t="s">
        <v>115</v>
      </c>
      <c r="C901" t="s">
        <v>16</v>
      </c>
      <c r="D901" s="3">
        <v>44327</v>
      </c>
      <c r="E901" s="1">
        <v>44327.861238425925</v>
      </c>
      <c r="F901" t="s">
        <v>17</v>
      </c>
      <c r="G901" t="s">
        <v>68</v>
      </c>
      <c r="H901" s="1">
        <v>44327.541666666664</v>
      </c>
      <c r="I901" s="1">
        <v>44327.583333333336</v>
      </c>
      <c r="J901" s="4">
        <f t="shared" si="14"/>
        <v>4.1666666671517305E-2</v>
      </c>
      <c r="K901" t="s">
        <v>192</v>
      </c>
      <c r="M901">
        <v>0</v>
      </c>
      <c r="N901" s="6">
        <v>0</v>
      </c>
      <c r="Q901" s="2" t="s">
        <v>19</v>
      </c>
    </row>
    <row r="902" spans="1:17" ht="68" x14ac:dyDescent="0.2">
      <c r="A902" t="s">
        <v>189</v>
      </c>
      <c r="B902" t="s">
        <v>115</v>
      </c>
      <c r="C902" t="s">
        <v>16</v>
      </c>
      <c r="D902" s="3">
        <v>44328</v>
      </c>
      <c r="E902" s="1">
        <v>44328.656875000001</v>
      </c>
      <c r="F902" t="s">
        <v>17</v>
      </c>
      <c r="G902" t="s">
        <v>45</v>
      </c>
      <c r="H902" s="1">
        <v>44328.53125</v>
      </c>
      <c r="I902" s="1">
        <v>44328.666666666664</v>
      </c>
      <c r="J902" s="4">
        <f t="shared" si="14"/>
        <v>0.13541666666424135</v>
      </c>
      <c r="K902" t="s">
        <v>195</v>
      </c>
      <c r="M902">
        <v>6</v>
      </c>
      <c r="N902" s="6">
        <v>0</v>
      </c>
      <c r="Q902" s="2" t="s">
        <v>19</v>
      </c>
    </row>
    <row r="903" spans="1:17" ht="68" x14ac:dyDescent="0.2">
      <c r="A903" t="s">
        <v>189</v>
      </c>
      <c r="B903" t="s">
        <v>115</v>
      </c>
      <c r="C903" t="s">
        <v>16</v>
      </c>
      <c r="D903" s="3">
        <v>44334</v>
      </c>
      <c r="E903" s="1">
        <v>44334.486631944441</v>
      </c>
      <c r="F903" t="s">
        <v>17</v>
      </c>
      <c r="G903" t="s">
        <v>55</v>
      </c>
      <c r="H903" s="1">
        <v>44334.375</v>
      </c>
      <c r="I903" s="1">
        <v>44334.489583333336</v>
      </c>
      <c r="J903" s="4">
        <f t="shared" si="14"/>
        <v>0.11458333333575865</v>
      </c>
      <c r="K903" t="s">
        <v>200</v>
      </c>
      <c r="M903">
        <v>0</v>
      </c>
      <c r="N903" s="5" t="s">
        <v>144</v>
      </c>
      <c r="Q903" s="2" t="s">
        <v>19</v>
      </c>
    </row>
    <row r="904" spans="1:17" ht="68" x14ac:dyDescent="0.2">
      <c r="A904" t="s">
        <v>189</v>
      </c>
      <c r="B904" t="s">
        <v>115</v>
      </c>
      <c r="C904" t="s">
        <v>16</v>
      </c>
      <c r="D904" s="3">
        <v>44334</v>
      </c>
      <c r="E904" s="1">
        <v>44334.668206018519</v>
      </c>
      <c r="F904" t="s">
        <v>17</v>
      </c>
      <c r="G904" t="s">
        <v>69</v>
      </c>
      <c r="H904" s="1">
        <v>44334.541666666664</v>
      </c>
      <c r="I904" s="1">
        <v>44334.666666666664</v>
      </c>
      <c r="J904" s="4">
        <f t="shared" si="14"/>
        <v>0.125</v>
      </c>
      <c r="K904" t="s">
        <v>192</v>
      </c>
      <c r="M904">
        <v>0</v>
      </c>
      <c r="N904" s="6">
        <v>0</v>
      </c>
      <c r="Q904" s="2" t="s">
        <v>19</v>
      </c>
    </row>
    <row r="905" spans="1:17" ht="68" x14ac:dyDescent="0.2">
      <c r="A905" t="s">
        <v>189</v>
      </c>
      <c r="B905" t="s">
        <v>115</v>
      </c>
      <c r="C905" t="s">
        <v>16</v>
      </c>
      <c r="D905" s="3">
        <v>44335</v>
      </c>
      <c r="E905" s="1">
        <v>44335.417581018519</v>
      </c>
      <c r="F905" t="s">
        <v>17</v>
      </c>
      <c r="G905" t="s">
        <v>36</v>
      </c>
      <c r="H905" s="1">
        <v>44335.375</v>
      </c>
      <c r="I905" s="1">
        <v>44335.489583333336</v>
      </c>
      <c r="J905" s="4">
        <f t="shared" si="14"/>
        <v>0.11458333333575865</v>
      </c>
      <c r="K905" t="s">
        <v>197</v>
      </c>
      <c r="M905">
        <v>1</v>
      </c>
      <c r="N905" s="6">
        <v>0</v>
      </c>
      <c r="Q905" s="2" t="s">
        <v>19</v>
      </c>
    </row>
    <row r="906" spans="1:17" ht="68" x14ac:dyDescent="0.2">
      <c r="A906" t="s">
        <v>189</v>
      </c>
      <c r="B906" t="s">
        <v>115</v>
      </c>
      <c r="C906" t="s">
        <v>16</v>
      </c>
      <c r="D906" s="3">
        <v>44335</v>
      </c>
      <c r="E906" s="1">
        <v>44335.661238425928</v>
      </c>
      <c r="F906" t="s">
        <v>17</v>
      </c>
      <c r="G906" t="s">
        <v>70</v>
      </c>
      <c r="H906" s="1">
        <v>44335.53125</v>
      </c>
      <c r="I906" s="1">
        <v>44335.65625</v>
      </c>
      <c r="J906" s="4">
        <f t="shared" si="14"/>
        <v>0.125</v>
      </c>
      <c r="K906" t="s">
        <v>200</v>
      </c>
      <c r="M906">
        <v>14</v>
      </c>
      <c r="N906" s="6">
        <v>0</v>
      </c>
      <c r="Q906" s="2" t="s">
        <v>19</v>
      </c>
    </row>
    <row r="907" spans="1:17" ht="68" x14ac:dyDescent="0.2">
      <c r="A907" t="s">
        <v>189</v>
      </c>
      <c r="B907" t="s">
        <v>115</v>
      </c>
      <c r="C907" t="s">
        <v>16</v>
      </c>
      <c r="D907" s="3">
        <v>44336</v>
      </c>
      <c r="E907" s="1">
        <v>44336.488553240742</v>
      </c>
      <c r="F907" t="s">
        <v>17</v>
      </c>
      <c r="G907" t="s">
        <v>52</v>
      </c>
      <c r="H907" s="1">
        <v>44336.375</v>
      </c>
      <c r="I907" s="1">
        <v>44336.489583333336</v>
      </c>
      <c r="J907" s="4">
        <f t="shared" si="14"/>
        <v>0.11458333333575865</v>
      </c>
      <c r="K907" t="s">
        <v>200</v>
      </c>
      <c r="M907">
        <v>0</v>
      </c>
      <c r="N907" s="6">
        <v>0</v>
      </c>
      <c r="Q907" s="2" t="s">
        <v>19</v>
      </c>
    </row>
    <row r="908" spans="1:17" ht="68" x14ac:dyDescent="0.2">
      <c r="A908" t="s">
        <v>189</v>
      </c>
      <c r="B908" t="s">
        <v>115</v>
      </c>
      <c r="C908" t="s">
        <v>16</v>
      </c>
      <c r="D908" s="3">
        <v>44336</v>
      </c>
      <c r="E908" s="1">
        <v>44336.657523148147</v>
      </c>
      <c r="F908" t="s">
        <v>17</v>
      </c>
      <c r="G908" t="s">
        <v>59</v>
      </c>
      <c r="H908" s="1">
        <v>44336.53125</v>
      </c>
      <c r="I908" s="1">
        <v>44336.65625</v>
      </c>
      <c r="J908" s="4">
        <f t="shared" si="14"/>
        <v>0.125</v>
      </c>
      <c r="K908" t="s">
        <v>192</v>
      </c>
      <c r="M908">
        <v>0</v>
      </c>
      <c r="N908" s="6">
        <v>0</v>
      </c>
      <c r="Q908" s="2" t="s">
        <v>19</v>
      </c>
    </row>
    <row r="909" spans="1:17" ht="68" x14ac:dyDescent="0.2">
      <c r="A909" t="s">
        <v>189</v>
      </c>
      <c r="B909" t="s">
        <v>115</v>
      </c>
      <c r="C909" t="s">
        <v>16</v>
      </c>
      <c r="D909" s="3">
        <v>44337</v>
      </c>
      <c r="E909" s="1">
        <v>44337.485578703701</v>
      </c>
      <c r="F909" t="s">
        <v>17</v>
      </c>
      <c r="G909" t="s">
        <v>44</v>
      </c>
      <c r="H909" s="1">
        <v>44337.375</v>
      </c>
      <c r="I909" s="1">
        <v>44337.489583333336</v>
      </c>
      <c r="J909" s="4">
        <f t="shared" si="14"/>
        <v>0.11458333333575865</v>
      </c>
      <c r="K909" t="s">
        <v>199</v>
      </c>
      <c r="M909">
        <v>4</v>
      </c>
      <c r="N909" s="6">
        <v>0</v>
      </c>
      <c r="Q909" s="2" t="s">
        <v>19</v>
      </c>
    </row>
    <row r="910" spans="1:17" ht="68" x14ac:dyDescent="0.2">
      <c r="A910" t="s">
        <v>189</v>
      </c>
      <c r="B910" t="s">
        <v>115</v>
      </c>
      <c r="C910" t="s">
        <v>16</v>
      </c>
      <c r="D910" s="3">
        <v>44338</v>
      </c>
      <c r="E910" s="1">
        <v>44338.493738425925</v>
      </c>
      <c r="F910" t="s">
        <v>17</v>
      </c>
      <c r="G910" t="s">
        <v>47</v>
      </c>
      <c r="H910" s="1">
        <v>44338.375</v>
      </c>
      <c r="I910" s="1">
        <v>44338.489583333336</v>
      </c>
      <c r="J910" s="4">
        <f t="shared" si="14"/>
        <v>0.11458333333575865</v>
      </c>
      <c r="K910" t="s">
        <v>209</v>
      </c>
      <c r="M910">
        <v>1</v>
      </c>
      <c r="N910" s="6">
        <v>0</v>
      </c>
      <c r="O910" t="s">
        <v>85</v>
      </c>
      <c r="P910" t="s">
        <v>89</v>
      </c>
      <c r="Q910" s="2" t="s">
        <v>19</v>
      </c>
    </row>
    <row r="911" spans="1:17" ht="68" x14ac:dyDescent="0.2">
      <c r="A911" t="s">
        <v>189</v>
      </c>
      <c r="B911" t="s">
        <v>115</v>
      </c>
      <c r="C911" t="s">
        <v>16</v>
      </c>
      <c r="D911" s="3">
        <v>44338</v>
      </c>
      <c r="E911" s="1">
        <v>44338.63175925926</v>
      </c>
      <c r="F911" t="s">
        <v>17</v>
      </c>
      <c r="G911" t="s">
        <v>42</v>
      </c>
      <c r="H911" s="1">
        <v>44338.53125</v>
      </c>
      <c r="I911" s="1">
        <v>44338.645833333336</v>
      </c>
      <c r="J911" s="4">
        <f t="shared" si="14"/>
        <v>0.11458333333575865</v>
      </c>
      <c r="K911" t="s">
        <v>210</v>
      </c>
      <c r="M911">
        <v>0</v>
      </c>
      <c r="N911" s="6">
        <v>0</v>
      </c>
      <c r="Q911" s="2" t="s">
        <v>19</v>
      </c>
    </row>
    <row r="912" spans="1:17" ht="68" x14ac:dyDescent="0.2">
      <c r="A912" t="s">
        <v>189</v>
      </c>
      <c r="B912" t="s">
        <v>115</v>
      </c>
      <c r="C912" t="s">
        <v>16</v>
      </c>
      <c r="D912" s="3">
        <v>44340</v>
      </c>
      <c r="E912" s="1">
        <v>44340.499027777776</v>
      </c>
      <c r="F912" t="s">
        <v>17</v>
      </c>
      <c r="G912" t="s">
        <v>71</v>
      </c>
      <c r="H912" s="1">
        <v>44340.375</v>
      </c>
      <c r="I912" s="1">
        <v>44340.489583333336</v>
      </c>
      <c r="J912" s="4">
        <f t="shared" si="14"/>
        <v>0.11458333333575865</v>
      </c>
      <c r="K912" t="s">
        <v>211</v>
      </c>
      <c r="M912">
        <v>0</v>
      </c>
      <c r="N912" s="5" t="s">
        <v>144</v>
      </c>
      <c r="Q912" s="2" t="s">
        <v>19</v>
      </c>
    </row>
    <row r="913" spans="1:17" ht="68" x14ac:dyDescent="0.2">
      <c r="A913" t="s">
        <v>189</v>
      </c>
      <c r="B913" t="s">
        <v>115</v>
      </c>
      <c r="C913" t="s">
        <v>16</v>
      </c>
      <c r="D913" s="3">
        <v>44340</v>
      </c>
      <c r="E913" s="1">
        <v>44340.506620370368</v>
      </c>
      <c r="F913" t="s">
        <v>17</v>
      </c>
      <c r="G913" t="s">
        <v>71</v>
      </c>
      <c r="H913" s="1">
        <v>44340.375</v>
      </c>
      <c r="I913" s="1">
        <v>44340.489583333336</v>
      </c>
      <c r="J913" s="4">
        <f t="shared" si="14"/>
        <v>0.11458333333575865</v>
      </c>
      <c r="K913" t="s">
        <v>211</v>
      </c>
      <c r="M913">
        <v>2</v>
      </c>
      <c r="N913" s="6">
        <v>0</v>
      </c>
      <c r="Q913" s="2" t="s">
        <v>19</v>
      </c>
    </row>
    <row r="914" spans="1:17" ht="68" x14ac:dyDescent="0.2">
      <c r="A914" t="s">
        <v>189</v>
      </c>
      <c r="B914" t="s">
        <v>115</v>
      </c>
      <c r="C914" t="s">
        <v>16</v>
      </c>
      <c r="D914" s="3">
        <v>44340</v>
      </c>
      <c r="E914" s="1">
        <v>44340.508622685185</v>
      </c>
      <c r="F914" t="s">
        <v>17</v>
      </c>
      <c r="G914" t="s">
        <v>71</v>
      </c>
      <c r="H914" s="1">
        <v>44340.375</v>
      </c>
      <c r="I914" s="1">
        <v>44340.489583333336</v>
      </c>
      <c r="J914" s="4">
        <f t="shared" si="14"/>
        <v>0.11458333333575865</v>
      </c>
      <c r="K914" t="s">
        <v>211</v>
      </c>
      <c r="M914">
        <v>1</v>
      </c>
      <c r="N914" s="6">
        <v>0</v>
      </c>
      <c r="Q914" s="2" t="s">
        <v>19</v>
      </c>
    </row>
    <row r="915" spans="1:17" ht="68" x14ac:dyDescent="0.2">
      <c r="A915" t="s">
        <v>189</v>
      </c>
      <c r="B915" t="s">
        <v>115</v>
      </c>
      <c r="C915" t="s">
        <v>16</v>
      </c>
      <c r="D915" s="3">
        <v>44340</v>
      </c>
      <c r="E915" s="1">
        <v>44340.510798611111</v>
      </c>
      <c r="F915" t="s">
        <v>17</v>
      </c>
      <c r="G915" t="s">
        <v>71</v>
      </c>
      <c r="H915" s="1">
        <v>44340.375</v>
      </c>
      <c r="I915" s="1">
        <v>44340.489583333336</v>
      </c>
      <c r="J915" s="4">
        <f t="shared" si="14"/>
        <v>0.11458333333575865</v>
      </c>
      <c r="K915" t="s">
        <v>211</v>
      </c>
      <c r="M915">
        <v>0</v>
      </c>
      <c r="N915" s="5" t="s">
        <v>144</v>
      </c>
      <c r="Q915" s="2" t="s">
        <v>19</v>
      </c>
    </row>
    <row r="916" spans="1:17" ht="68" x14ac:dyDescent="0.2">
      <c r="A916" t="s">
        <v>189</v>
      </c>
      <c r="B916" t="s">
        <v>115</v>
      </c>
      <c r="C916" t="s">
        <v>16</v>
      </c>
      <c r="D916" s="3">
        <v>44340</v>
      </c>
      <c r="E916" s="1">
        <v>44340.545266203706</v>
      </c>
      <c r="F916" t="s">
        <v>17</v>
      </c>
      <c r="G916" t="s">
        <v>56</v>
      </c>
      <c r="H916" s="1">
        <v>44340.53125</v>
      </c>
      <c r="I916" s="1">
        <v>44340.666666666664</v>
      </c>
      <c r="J916" s="4">
        <f t="shared" si="14"/>
        <v>0.13541666666424135</v>
      </c>
      <c r="K916" t="s">
        <v>200</v>
      </c>
      <c r="M916">
        <v>4</v>
      </c>
      <c r="N916" s="6">
        <v>0</v>
      </c>
      <c r="Q916" s="2" t="s">
        <v>19</v>
      </c>
    </row>
    <row r="917" spans="1:17" ht="68" x14ac:dyDescent="0.2">
      <c r="A917" t="s">
        <v>189</v>
      </c>
      <c r="B917" t="s">
        <v>115</v>
      </c>
      <c r="C917" t="s">
        <v>16</v>
      </c>
      <c r="D917" s="3">
        <v>44340</v>
      </c>
      <c r="E917" s="1">
        <v>44340.638541666667</v>
      </c>
      <c r="F917" t="s">
        <v>17</v>
      </c>
      <c r="G917" t="s">
        <v>56</v>
      </c>
      <c r="H917" s="1">
        <v>44340.53125</v>
      </c>
      <c r="I917" s="1">
        <v>44340.666666666664</v>
      </c>
      <c r="J917" s="4">
        <f t="shared" si="14"/>
        <v>0.13541666666424135</v>
      </c>
      <c r="K917" t="s">
        <v>200</v>
      </c>
      <c r="M917">
        <v>15</v>
      </c>
      <c r="N917" s="6">
        <v>0</v>
      </c>
      <c r="Q917" s="2" t="s">
        <v>19</v>
      </c>
    </row>
    <row r="918" spans="1:17" ht="68" x14ac:dyDescent="0.2">
      <c r="A918" t="s">
        <v>189</v>
      </c>
      <c r="B918" t="s">
        <v>115</v>
      </c>
      <c r="C918" t="s">
        <v>16</v>
      </c>
      <c r="D918" s="3">
        <v>44341</v>
      </c>
      <c r="E918" s="1">
        <v>44341.389004629629</v>
      </c>
      <c r="F918" t="s">
        <v>17</v>
      </c>
      <c r="G918" t="s">
        <v>55</v>
      </c>
      <c r="H918" s="1">
        <v>44341.383333333331</v>
      </c>
      <c r="I918" s="1">
        <v>44341.404166666667</v>
      </c>
      <c r="J918" s="4">
        <f t="shared" si="14"/>
        <v>2.0833333335758653E-2</v>
      </c>
      <c r="K918" t="s">
        <v>200</v>
      </c>
      <c r="M918">
        <v>4</v>
      </c>
      <c r="N918" s="6">
        <v>0</v>
      </c>
      <c r="Q918" s="2" t="s">
        <v>19</v>
      </c>
    </row>
    <row r="919" spans="1:17" ht="68" x14ac:dyDescent="0.2">
      <c r="A919" t="s">
        <v>189</v>
      </c>
      <c r="B919" t="s">
        <v>115</v>
      </c>
      <c r="C919" t="s">
        <v>16</v>
      </c>
      <c r="D919" s="3">
        <v>44341</v>
      </c>
      <c r="E919" s="1">
        <v>44341.487962962965</v>
      </c>
      <c r="F919" t="s">
        <v>17</v>
      </c>
      <c r="G919" t="s">
        <v>55</v>
      </c>
      <c r="H919" s="1">
        <v>44341.383333333331</v>
      </c>
      <c r="I919" s="1">
        <v>44341.404166666667</v>
      </c>
      <c r="J919" s="4">
        <f t="shared" si="14"/>
        <v>2.0833333335758653E-2</v>
      </c>
      <c r="K919" t="s">
        <v>200</v>
      </c>
      <c r="M919">
        <v>0</v>
      </c>
      <c r="N919" s="5" t="s">
        <v>144</v>
      </c>
      <c r="Q919" s="2" t="s">
        <v>19</v>
      </c>
    </row>
    <row r="920" spans="1:17" ht="68" x14ac:dyDescent="0.2">
      <c r="A920" t="s">
        <v>189</v>
      </c>
      <c r="B920" t="s">
        <v>115</v>
      </c>
      <c r="C920" t="s">
        <v>16</v>
      </c>
      <c r="D920" s="3">
        <v>44341</v>
      </c>
      <c r="E920" s="1">
        <v>44341.488032407404</v>
      </c>
      <c r="F920" t="s">
        <v>17</v>
      </c>
      <c r="G920" t="s">
        <v>55</v>
      </c>
      <c r="H920" s="1">
        <v>44341.383333333331</v>
      </c>
      <c r="I920" s="1">
        <v>44341.404166666667</v>
      </c>
      <c r="J920" s="4">
        <f t="shared" si="14"/>
        <v>2.0833333335758653E-2</v>
      </c>
      <c r="K920" t="s">
        <v>200</v>
      </c>
      <c r="M920">
        <v>0</v>
      </c>
      <c r="N920" s="5" t="s">
        <v>144</v>
      </c>
      <c r="Q920" s="2" t="s">
        <v>19</v>
      </c>
    </row>
    <row r="921" spans="1:17" ht="68" x14ac:dyDescent="0.2">
      <c r="A921" t="s">
        <v>189</v>
      </c>
      <c r="B921" t="s">
        <v>115</v>
      </c>
      <c r="C921" t="s">
        <v>16</v>
      </c>
      <c r="D921" s="3">
        <v>44341</v>
      </c>
      <c r="E921" s="1">
        <v>44341.660081018519</v>
      </c>
      <c r="F921" t="s">
        <v>17</v>
      </c>
      <c r="G921" t="s">
        <v>68</v>
      </c>
      <c r="H921" s="1">
        <v>44341.541666666664</v>
      </c>
      <c r="I921" s="1">
        <v>44341.666666666664</v>
      </c>
      <c r="J921" s="4">
        <f t="shared" si="14"/>
        <v>0.125</v>
      </c>
      <c r="K921" t="s">
        <v>192</v>
      </c>
      <c r="M921">
        <v>0</v>
      </c>
      <c r="N921" s="6">
        <v>0</v>
      </c>
      <c r="Q921" s="2" t="s">
        <v>19</v>
      </c>
    </row>
    <row r="922" spans="1:17" ht="68" x14ac:dyDescent="0.2">
      <c r="A922" t="s">
        <v>189</v>
      </c>
      <c r="B922" t="s">
        <v>115</v>
      </c>
      <c r="C922" t="s">
        <v>16</v>
      </c>
      <c r="D922" s="3">
        <v>44342</v>
      </c>
      <c r="E922" s="1">
        <v>44342.493877314817</v>
      </c>
      <c r="F922" t="s">
        <v>17</v>
      </c>
      <c r="G922" t="s">
        <v>72</v>
      </c>
      <c r="H922" s="1">
        <v>44342.375</v>
      </c>
      <c r="I922" s="1">
        <v>44342.5</v>
      </c>
      <c r="J922" s="4">
        <f t="shared" si="14"/>
        <v>0.125</v>
      </c>
      <c r="K922" t="s">
        <v>212</v>
      </c>
      <c r="M922">
        <v>6</v>
      </c>
      <c r="N922" s="6">
        <v>0</v>
      </c>
      <c r="Q922" s="2" t="s">
        <v>19</v>
      </c>
    </row>
    <row r="923" spans="1:17" ht="68" x14ac:dyDescent="0.2">
      <c r="A923" t="s">
        <v>189</v>
      </c>
      <c r="B923" t="s">
        <v>115</v>
      </c>
      <c r="C923" t="s">
        <v>16</v>
      </c>
      <c r="D923" s="3">
        <v>44342</v>
      </c>
      <c r="E923" s="1">
        <v>44342.661087962966</v>
      </c>
      <c r="F923" t="s">
        <v>17</v>
      </c>
      <c r="G923" t="s">
        <v>35</v>
      </c>
      <c r="H923" s="1">
        <v>44342.53125</v>
      </c>
      <c r="I923" s="1">
        <v>44342.666666666664</v>
      </c>
      <c r="J923" s="4">
        <f t="shared" si="14"/>
        <v>0.13541666666424135</v>
      </c>
      <c r="K923" t="s">
        <v>200</v>
      </c>
      <c r="M923">
        <v>9</v>
      </c>
      <c r="N923" s="6">
        <v>0</v>
      </c>
      <c r="Q923" s="2" t="s">
        <v>19</v>
      </c>
    </row>
    <row r="924" spans="1:17" ht="68" x14ac:dyDescent="0.2">
      <c r="A924" t="s">
        <v>189</v>
      </c>
      <c r="B924" t="s">
        <v>115</v>
      </c>
      <c r="C924" t="s">
        <v>16</v>
      </c>
      <c r="D924" s="3">
        <v>44343</v>
      </c>
      <c r="E924" s="1">
        <v>44343.486435185187</v>
      </c>
      <c r="F924" t="s">
        <v>17</v>
      </c>
      <c r="G924" t="s">
        <v>73</v>
      </c>
      <c r="H924" s="1">
        <v>44343.375</v>
      </c>
      <c r="I924" s="1">
        <v>44343.489583333336</v>
      </c>
      <c r="J924" s="4">
        <f t="shared" si="14"/>
        <v>0.11458333333575865</v>
      </c>
      <c r="K924" t="s">
        <v>196</v>
      </c>
      <c r="M924">
        <v>1</v>
      </c>
      <c r="N924" s="6">
        <v>0</v>
      </c>
      <c r="Q924" s="2" t="s">
        <v>19</v>
      </c>
    </row>
    <row r="925" spans="1:17" ht="68" x14ac:dyDescent="0.2">
      <c r="A925" t="s">
        <v>189</v>
      </c>
      <c r="B925" t="s">
        <v>115</v>
      </c>
      <c r="C925" t="s">
        <v>16</v>
      </c>
      <c r="D925" s="3">
        <v>44344</v>
      </c>
      <c r="E925" s="1">
        <v>44344.488333333335</v>
      </c>
      <c r="F925" t="s">
        <v>17</v>
      </c>
      <c r="G925" t="s">
        <v>53</v>
      </c>
      <c r="H925" s="1">
        <v>44344.375</v>
      </c>
      <c r="I925" s="1">
        <v>44344.489583333336</v>
      </c>
      <c r="J925" s="4">
        <f t="shared" si="14"/>
        <v>0.11458333333575865</v>
      </c>
      <c r="K925" t="s">
        <v>199</v>
      </c>
      <c r="M925">
        <v>2</v>
      </c>
      <c r="N925" s="6">
        <v>0</v>
      </c>
      <c r="Q925" s="2" t="s">
        <v>19</v>
      </c>
    </row>
    <row r="926" spans="1:17" ht="68" x14ac:dyDescent="0.2">
      <c r="A926" t="s">
        <v>189</v>
      </c>
      <c r="B926" t="s">
        <v>115</v>
      </c>
      <c r="C926" t="s">
        <v>16</v>
      </c>
      <c r="D926" s="3">
        <v>44344</v>
      </c>
      <c r="E926" s="1">
        <v>44344.549768518518</v>
      </c>
      <c r="F926" t="s">
        <v>17</v>
      </c>
      <c r="G926" t="s">
        <v>35</v>
      </c>
      <c r="H926" s="1">
        <v>44344.53125</v>
      </c>
      <c r="I926" s="1">
        <v>44344.552083333336</v>
      </c>
      <c r="J926" s="4">
        <f t="shared" si="14"/>
        <v>2.0833333335758653E-2</v>
      </c>
      <c r="K926" t="s">
        <v>219</v>
      </c>
      <c r="M926">
        <v>1</v>
      </c>
      <c r="N926" s="6">
        <v>0</v>
      </c>
      <c r="Q926" s="2" t="s">
        <v>19</v>
      </c>
    </row>
    <row r="927" spans="1:17" ht="68" x14ac:dyDescent="0.2">
      <c r="A927" t="s">
        <v>189</v>
      </c>
      <c r="B927" t="s">
        <v>115</v>
      </c>
      <c r="C927" t="s">
        <v>16</v>
      </c>
      <c r="D927" s="3">
        <v>44344</v>
      </c>
      <c r="E927" s="1">
        <v>44344.659502314818</v>
      </c>
      <c r="F927" t="s">
        <v>17</v>
      </c>
      <c r="G927" t="s">
        <v>106</v>
      </c>
      <c r="H927" s="1">
        <v>44344.552083333336</v>
      </c>
      <c r="I927" s="1">
        <v>44344.666666666664</v>
      </c>
      <c r="J927" s="4">
        <f t="shared" si="14"/>
        <v>0.11458333332848269</v>
      </c>
      <c r="K927" t="s">
        <v>221</v>
      </c>
      <c r="M927">
        <v>0</v>
      </c>
      <c r="N927" s="6">
        <v>0</v>
      </c>
      <c r="Q927" s="2" t="s">
        <v>19</v>
      </c>
    </row>
    <row r="928" spans="1:17" ht="68" x14ac:dyDescent="0.2">
      <c r="A928" t="s">
        <v>189</v>
      </c>
      <c r="B928" t="s">
        <v>115</v>
      </c>
      <c r="C928" t="s">
        <v>16</v>
      </c>
      <c r="D928" s="3">
        <v>44348</v>
      </c>
      <c r="E928" s="1">
        <v>44348.490752314814</v>
      </c>
      <c r="F928" t="s">
        <v>17</v>
      </c>
      <c r="G928" t="s">
        <v>53</v>
      </c>
      <c r="H928" s="1">
        <v>44348.378472222219</v>
      </c>
      <c r="I928" s="1">
        <v>44348.490972222222</v>
      </c>
      <c r="J928" s="4">
        <f t="shared" si="14"/>
        <v>0.11250000000291038</v>
      </c>
      <c r="K928" t="s">
        <v>213</v>
      </c>
      <c r="M928">
        <v>4</v>
      </c>
      <c r="N928" s="6">
        <v>0</v>
      </c>
      <c r="O928" t="s">
        <v>85</v>
      </c>
      <c r="P928" t="s">
        <v>89</v>
      </c>
      <c r="Q928" s="2" t="s">
        <v>19</v>
      </c>
    </row>
    <row r="929" spans="1:17" ht="68" x14ac:dyDescent="0.2">
      <c r="A929" t="s">
        <v>189</v>
      </c>
      <c r="B929" t="s">
        <v>115</v>
      </c>
      <c r="C929" t="s">
        <v>16</v>
      </c>
      <c r="D929" s="3">
        <v>44348</v>
      </c>
      <c r="E929" s="1">
        <v>44348.490879629629</v>
      </c>
      <c r="F929" t="s">
        <v>17</v>
      </c>
      <c r="G929" t="s">
        <v>53</v>
      </c>
      <c r="H929" s="1">
        <v>44348.378472222219</v>
      </c>
      <c r="I929" s="1">
        <v>44348.490972222222</v>
      </c>
      <c r="J929" s="4">
        <f t="shared" si="14"/>
        <v>0.11250000000291038</v>
      </c>
      <c r="K929" t="s">
        <v>213</v>
      </c>
      <c r="M929">
        <v>0</v>
      </c>
      <c r="N929" s="5" t="s">
        <v>144</v>
      </c>
      <c r="Q929" s="2" t="s">
        <v>19</v>
      </c>
    </row>
    <row r="930" spans="1:17" ht="68" x14ac:dyDescent="0.2">
      <c r="A930" t="s">
        <v>189</v>
      </c>
      <c r="B930" t="s">
        <v>115</v>
      </c>
      <c r="C930" t="s">
        <v>16</v>
      </c>
      <c r="D930" s="3">
        <v>44348</v>
      </c>
      <c r="E930" s="1">
        <v>44348.601365740738</v>
      </c>
      <c r="F930" t="s">
        <v>17</v>
      </c>
      <c r="G930" t="s">
        <v>74</v>
      </c>
      <c r="H930" s="1">
        <v>44348.541666666664</v>
      </c>
      <c r="I930" s="1">
        <v>44348.645833333336</v>
      </c>
      <c r="J930" s="4">
        <f t="shared" si="14"/>
        <v>0.10416666667151731</v>
      </c>
      <c r="K930" t="s">
        <v>192</v>
      </c>
      <c r="M930">
        <v>1</v>
      </c>
      <c r="N930" s="6">
        <v>0</v>
      </c>
      <c r="Q930" s="2" t="s">
        <v>19</v>
      </c>
    </row>
    <row r="931" spans="1:17" ht="68" x14ac:dyDescent="0.2">
      <c r="A931" t="s">
        <v>189</v>
      </c>
      <c r="B931" t="s">
        <v>115</v>
      </c>
      <c r="C931" t="s">
        <v>16</v>
      </c>
      <c r="D931" s="3">
        <v>44348</v>
      </c>
      <c r="E931" s="1">
        <v>44348.667500000003</v>
      </c>
      <c r="F931" t="s">
        <v>17</v>
      </c>
      <c r="G931" t="s">
        <v>75</v>
      </c>
      <c r="H931" s="1">
        <v>44348.645833333336</v>
      </c>
      <c r="I931" s="1">
        <v>44348.666666666664</v>
      </c>
      <c r="J931" s="4">
        <f t="shared" si="14"/>
        <v>2.0833333328482695E-2</v>
      </c>
      <c r="K931" t="s">
        <v>214</v>
      </c>
      <c r="M931">
        <v>3</v>
      </c>
      <c r="N931" s="6">
        <v>0</v>
      </c>
      <c r="Q931" s="2" t="s">
        <v>19</v>
      </c>
    </row>
    <row r="932" spans="1:17" ht="68" x14ac:dyDescent="0.2">
      <c r="A932" t="s">
        <v>189</v>
      </c>
      <c r="B932" t="s">
        <v>115</v>
      </c>
      <c r="C932" t="s">
        <v>16</v>
      </c>
      <c r="D932" s="3">
        <v>44349</v>
      </c>
      <c r="E932" s="1">
        <v>44349.484895833331</v>
      </c>
      <c r="F932" t="s">
        <v>17</v>
      </c>
      <c r="G932" t="s">
        <v>76</v>
      </c>
      <c r="H932" s="1">
        <v>44349.376388888886</v>
      </c>
      <c r="I932" s="1">
        <v>44349.489583333336</v>
      </c>
      <c r="J932" s="4">
        <f t="shared" si="14"/>
        <v>0.11319444444961846</v>
      </c>
      <c r="K932" t="s">
        <v>197</v>
      </c>
      <c r="M932">
        <v>0</v>
      </c>
      <c r="N932" s="6">
        <v>0</v>
      </c>
      <c r="Q932" s="2" t="s">
        <v>19</v>
      </c>
    </row>
    <row r="933" spans="1:17" ht="68" x14ac:dyDescent="0.2">
      <c r="A933" t="s">
        <v>189</v>
      </c>
      <c r="B933" t="s">
        <v>115</v>
      </c>
      <c r="C933" t="s">
        <v>16</v>
      </c>
      <c r="D933" s="3">
        <v>44349</v>
      </c>
      <c r="E933" s="1">
        <v>44349.668819444443</v>
      </c>
      <c r="F933" t="s">
        <v>17</v>
      </c>
      <c r="G933" t="s">
        <v>37</v>
      </c>
      <c r="H933" s="1">
        <v>44349.53125</v>
      </c>
      <c r="I933" s="1">
        <v>44349.645833333336</v>
      </c>
      <c r="J933" s="4">
        <f t="shared" si="14"/>
        <v>0.11458333333575865</v>
      </c>
      <c r="K933" t="s">
        <v>192</v>
      </c>
      <c r="M933">
        <v>0</v>
      </c>
      <c r="N933" s="6">
        <v>0</v>
      </c>
      <c r="Q933" s="2" t="s">
        <v>19</v>
      </c>
    </row>
    <row r="934" spans="1:17" ht="68" x14ac:dyDescent="0.2">
      <c r="A934" t="s">
        <v>189</v>
      </c>
      <c r="B934" t="s">
        <v>115</v>
      </c>
      <c r="C934" t="s">
        <v>16</v>
      </c>
      <c r="D934" s="3">
        <v>44350</v>
      </c>
      <c r="E934" s="1">
        <v>44350.470034722224</v>
      </c>
      <c r="F934" t="s">
        <v>17</v>
      </c>
      <c r="G934" t="s">
        <v>77</v>
      </c>
      <c r="H934" s="1">
        <v>44350.333333333336</v>
      </c>
      <c r="I934" s="1">
        <v>44350.479166666664</v>
      </c>
      <c r="J934" s="4">
        <f t="shared" si="14"/>
        <v>0.14583333332848269</v>
      </c>
      <c r="K934" t="s">
        <v>191</v>
      </c>
      <c r="M934">
        <v>0</v>
      </c>
      <c r="N934" s="6">
        <v>0</v>
      </c>
      <c r="Q934" s="2" t="s">
        <v>19</v>
      </c>
    </row>
    <row r="935" spans="1:17" ht="68" x14ac:dyDescent="0.2">
      <c r="A935" t="s">
        <v>189</v>
      </c>
      <c r="B935" t="s">
        <v>115</v>
      </c>
      <c r="C935" t="s">
        <v>16</v>
      </c>
      <c r="D935" s="3">
        <v>44351</v>
      </c>
      <c r="E935" s="1">
        <v>44351.488969907405</v>
      </c>
      <c r="F935" t="s">
        <v>17</v>
      </c>
      <c r="G935" t="s">
        <v>63</v>
      </c>
      <c r="H935" s="1">
        <v>44351.375</v>
      </c>
      <c r="I935" s="1">
        <v>44351.489583333336</v>
      </c>
      <c r="J935" s="4">
        <f t="shared" si="14"/>
        <v>0.11458333333575865</v>
      </c>
      <c r="K935" t="s">
        <v>199</v>
      </c>
      <c r="M935">
        <v>0</v>
      </c>
      <c r="N935" s="6">
        <v>0</v>
      </c>
      <c r="Q935" s="2" t="s">
        <v>19</v>
      </c>
    </row>
    <row r="936" spans="1:17" ht="68" x14ac:dyDescent="0.2">
      <c r="A936" t="s">
        <v>189</v>
      </c>
      <c r="B936" t="s">
        <v>115</v>
      </c>
      <c r="C936" t="s">
        <v>16</v>
      </c>
      <c r="D936" s="3">
        <v>44351</v>
      </c>
      <c r="E936" s="1">
        <v>44351.658414351848</v>
      </c>
      <c r="F936" t="s">
        <v>17</v>
      </c>
      <c r="G936" t="s">
        <v>45</v>
      </c>
      <c r="H936" s="1">
        <v>44351.53125</v>
      </c>
      <c r="I936" s="1">
        <v>44351.666666666664</v>
      </c>
      <c r="J936" s="4">
        <f t="shared" si="14"/>
        <v>0.13541666666424135</v>
      </c>
      <c r="K936" t="s">
        <v>195</v>
      </c>
      <c r="M936">
        <v>6</v>
      </c>
      <c r="N936" s="6">
        <v>0</v>
      </c>
      <c r="Q936" s="2" t="s">
        <v>19</v>
      </c>
    </row>
    <row r="937" spans="1:17" ht="68" x14ac:dyDescent="0.2">
      <c r="A937" t="s">
        <v>189</v>
      </c>
      <c r="B937" t="s">
        <v>115</v>
      </c>
      <c r="C937" t="s">
        <v>16</v>
      </c>
      <c r="D937" s="3">
        <v>44354</v>
      </c>
      <c r="E937" s="1">
        <v>44354.489479166667</v>
      </c>
      <c r="F937" t="s">
        <v>17</v>
      </c>
      <c r="G937" t="s">
        <v>78</v>
      </c>
      <c r="H937" s="1">
        <v>44354.375</v>
      </c>
      <c r="I937" s="1">
        <v>44354.489583333336</v>
      </c>
      <c r="J937" s="4">
        <f t="shared" si="14"/>
        <v>0.11458333333575865</v>
      </c>
      <c r="K937" t="s">
        <v>215</v>
      </c>
      <c r="M937">
        <v>2</v>
      </c>
      <c r="N937" s="6">
        <v>0</v>
      </c>
      <c r="Q937" s="2" t="s">
        <v>19</v>
      </c>
    </row>
    <row r="938" spans="1:17" ht="68" x14ac:dyDescent="0.2">
      <c r="A938" t="s">
        <v>189</v>
      </c>
      <c r="B938" t="s">
        <v>115</v>
      </c>
      <c r="C938" t="s">
        <v>16</v>
      </c>
      <c r="D938" s="3">
        <v>44354</v>
      </c>
      <c r="E938" s="1">
        <v>44354.64334490741</v>
      </c>
      <c r="F938" t="s">
        <v>17</v>
      </c>
      <c r="G938" t="s">
        <v>79</v>
      </c>
      <c r="H938" s="1">
        <v>44354.530555555553</v>
      </c>
      <c r="I938" s="1">
        <v>44354.645833333336</v>
      </c>
      <c r="J938" s="4">
        <f t="shared" si="14"/>
        <v>0.11527777778246673</v>
      </c>
      <c r="K938" t="s">
        <v>200</v>
      </c>
      <c r="M938">
        <v>0</v>
      </c>
      <c r="N938" s="6">
        <v>0</v>
      </c>
      <c r="Q938" s="2" t="s">
        <v>19</v>
      </c>
    </row>
    <row r="939" spans="1:17" ht="68" x14ac:dyDescent="0.2">
      <c r="A939" t="s">
        <v>189</v>
      </c>
      <c r="B939" t="s">
        <v>115</v>
      </c>
      <c r="C939" t="s">
        <v>16</v>
      </c>
      <c r="D939" s="3">
        <v>44355</v>
      </c>
      <c r="E939" s="1">
        <v>44355.487812500003</v>
      </c>
      <c r="F939" t="s">
        <v>17</v>
      </c>
      <c r="G939" t="s">
        <v>80</v>
      </c>
      <c r="H939" s="1">
        <v>44355.375</v>
      </c>
      <c r="I939" s="1">
        <v>44355.489583333336</v>
      </c>
      <c r="J939" s="4">
        <f t="shared" si="14"/>
        <v>0.11458333333575865</v>
      </c>
      <c r="K939" t="s">
        <v>216</v>
      </c>
      <c r="M939">
        <v>0</v>
      </c>
      <c r="N939" s="6">
        <v>0</v>
      </c>
      <c r="Q939" s="2" t="s">
        <v>19</v>
      </c>
    </row>
    <row r="940" spans="1:17" ht="68" x14ac:dyDescent="0.2">
      <c r="A940" t="s">
        <v>189</v>
      </c>
      <c r="B940" t="s">
        <v>115</v>
      </c>
      <c r="C940" t="s">
        <v>16</v>
      </c>
      <c r="D940" s="3">
        <v>44355</v>
      </c>
      <c r="E940" s="1">
        <v>44355.672152777777</v>
      </c>
      <c r="F940" t="s">
        <v>17</v>
      </c>
      <c r="G940" t="s">
        <v>48</v>
      </c>
      <c r="H940" s="1">
        <v>44355.541666666664</v>
      </c>
      <c r="I940" s="1">
        <v>44355.666666666664</v>
      </c>
      <c r="J940" s="4">
        <f t="shared" si="14"/>
        <v>0.125</v>
      </c>
      <c r="K940" t="s">
        <v>192</v>
      </c>
      <c r="M940">
        <v>0</v>
      </c>
      <c r="N940" s="6">
        <v>0</v>
      </c>
      <c r="Q940" s="2" t="s">
        <v>19</v>
      </c>
    </row>
    <row r="941" spans="1:17" ht="68" x14ac:dyDescent="0.2">
      <c r="A941" t="s">
        <v>189</v>
      </c>
      <c r="B941" t="s">
        <v>115</v>
      </c>
      <c r="C941" t="s">
        <v>16</v>
      </c>
      <c r="D941" s="3">
        <v>44356</v>
      </c>
      <c r="E941" s="1">
        <v>44356.484930555554</v>
      </c>
      <c r="F941" t="s">
        <v>17</v>
      </c>
      <c r="G941" t="s">
        <v>78</v>
      </c>
      <c r="H941" s="1">
        <v>44356.375</v>
      </c>
      <c r="I941" s="1">
        <v>44356.489583333336</v>
      </c>
      <c r="J941" s="4">
        <f t="shared" si="14"/>
        <v>0.11458333333575865</v>
      </c>
      <c r="K941" t="s">
        <v>197</v>
      </c>
      <c r="M941">
        <v>0</v>
      </c>
      <c r="N941" s="6">
        <v>0</v>
      </c>
      <c r="Q941" s="2" t="s">
        <v>19</v>
      </c>
    </row>
    <row r="942" spans="1:17" ht="68" x14ac:dyDescent="0.2">
      <c r="A942" t="s">
        <v>189</v>
      </c>
      <c r="B942" t="s">
        <v>115</v>
      </c>
      <c r="C942" t="s">
        <v>16</v>
      </c>
      <c r="D942" s="3">
        <v>44356</v>
      </c>
      <c r="E942" s="1">
        <v>44356.635381944441</v>
      </c>
      <c r="F942" t="s">
        <v>17</v>
      </c>
      <c r="G942" t="s">
        <v>58</v>
      </c>
      <c r="H942" s="1">
        <v>44356.54791666667</v>
      </c>
      <c r="I942" s="1">
        <v>44356.666666666664</v>
      </c>
      <c r="J942" s="4">
        <f t="shared" si="14"/>
        <v>0.11874999999417923</v>
      </c>
      <c r="K942" t="s">
        <v>200</v>
      </c>
      <c r="M942">
        <v>0</v>
      </c>
      <c r="N942" s="6">
        <v>0</v>
      </c>
      <c r="Q942" s="2" t="s">
        <v>19</v>
      </c>
    </row>
    <row r="943" spans="1:17" ht="68" x14ac:dyDescent="0.2">
      <c r="A943" t="s">
        <v>189</v>
      </c>
      <c r="B943" t="s">
        <v>115</v>
      </c>
      <c r="C943" t="s">
        <v>16</v>
      </c>
      <c r="D943" s="3">
        <v>44358</v>
      </c>
      <c r="E943" s="1">
        <v>44358.489641203705</v>
      </c>
      <c r="F943" t="s">
        <v>17</v>
      </c>
      <c r="G943" t="s">
        <v>53</v>
      </c>
      <c r="H943" s="1">
        <v>44358.375</v>
      </c>
      <c r="I943" s="1">
        <v>44358.489583333336</v>
      </c>
      <c r="J943" s="4">
        <f t="shared" si="14"/>
        <v>0.11458333333575865</v>
      </c>
      <c r="K943" t="s">
        <v>199</v>
      </c>
      <c r="M943">
        <v>0</v>
      </c>
      <c r="N943" s="6">
        <v>0</v>
      </c>
      <c r="Q943" s="2" t="s">
        <v>19</v>
      </c>
    </row>
    <row r="944" spans="1:17" ht="68" x14ac:dyDescent="0.2">
      <c r="A944" t="s">
        <v>189</v>
      </c>
      <c r="B944" t="s">
        <v>115</v>
      </c>
      <c r="C944" t="s">
        <v>16</v>
      </c>
      <c r="D944" s="3">
        <v>44358</v>
      </c>
      <c r="E944" s="1">
        <v>44358.64403935185</v>
      </c>
      <c r="F944" t="s">
        <v>17</v>
      </c>
      <c r="G944" t="s">
        <v>82</v>
      </c>
      <c r="H944" s="1">
        <v>44358.53125</v>
      </c>
      <c r="I944" s="1">
        <v>44358.645833333336</v>
      </c>
      <c r="J944" s="4">
        <f t="shared" si="14"/>
        <v>0.11458333333575865</v>
      </c>
      <c r="K944" t="s">
        <v>200</v>
      </c>
      <c r="M944">
        <v>0</v>
      </c>
      <c r="N944" s="6">
        <v>0</v>
      </c>
      <c r="Q944" s="2" t="s">
        <v>19</v>
      </c>
    </row>
    <row r="945" spans="1:17" ht="68" x14ac:dyDescent="0.2">
      <c r="A945" t="s">
        <v>189</v>
      </c>
      <c r="B945" t="s">
        <v>115</v>
      </c>
      <c r="C945" t="s">
        <v>16</v>
      </c>
      <c r="D945" s="3">
        <v>44361</v>
      </c>
      <c r="E945" s="1">
        <v>44361.487349537034</v>
      </c>
      <c r="F945" t="s">
        <v>17</v>
      </c>
      <c r="G945" t="s">
        <v>46</v>
      </c>
      <c r="H945" s="1">
        <v>44361.375</v>
      </c>
      <c r="I945" s="1">
        <v>44361.489583333336</v>
      </c>
      <c r="J945" s="4">
        <f t="shared" si="14"/>
        <v>0.11458333333575865</v>
      </c>
      <c r="K945" t="s">
        <v>199</v>
      </c>
      <c r="M945">
        <v>6</v>
      </c>
      <c r="N945" s="6">
        <v>0</v>
      </c>
      <c r="Q945" s="2" t="s">
        <v>19</v>
      </c>
    </row>
    <row r="946" spans="1:17" ht="68" x14ac:dyDescent="0.2">
      <c r="A946" t="s">
        <v>189</v>
      </c>
      <c r="B946" t="s">
        <v>115</v>
      </c>
      <c r="C946" t="s">
        <v>16</v>
      </c>
      <c r="D946" s="3">
        <v>44361</v>
      </c>
      <c r="E946" s="1">
        <v>44361.630567129629</v>
      </c>
      <c r="F946" t="s">
        <v>17</v>
      </c>
      <c r="G946" t="s">
        <v>35</v>
      </c>
      <c r="H946" s="1">
        <v>44361.537499999999</v>
      </c>
      <c r="I946" s="1">
        <v>44361.645833333336</v>
      </c>
      <c r="J946" s="4">
        <f t="shared" si="14"/>
        <v>0.10833333333721384</v>
      </c>
      <c r="K946" t="s">
        <v>200</v>
      </c>
      <c r="M946">
        <v>0</v>
      </c>
      <c r="N946" s="6">
        <v>0</v>
      </c>
      <c r="Q946" s="2" t="s">
        <v>19</v>
      </c>
    </row>
    <row r="947" spans="1:17" ht="68" x14ac:dyDescent="0.2">
      <c r="A947" t="s">
        <v>189</v>
      </c>
      <c r="B947" t="s">
        <v>115</v>
      </c>
      <c r="C947" t="s">
        <v>16</v>
      </c>
      <c r="D947" s="3">
        <v>44361</v>
      </c>
      <c r="E947" s="1">
        <v>44361.643831018519</v>
      </c>
      <c r="F947" t="s">
        <v>17</v>
      </c>
      <c r="G947" t="s">
        <v>35</v>
      </c>
      <c r="H947" s="1">
        <v>44361.537499999999</v>
      </c>
      <c r="I947" s="1">
        <v>44361.645833333336</v>
      </c>
      <c r="J947" s="4">
        <f t="shared" si="14"/>
        <v>0.10833333333721384</v>
      </c>
      <c r="K947" t="s">
        <v>200</v>
      </c>
      <c r="M947">
        <v>0</v>
      </c>
      <c r="N947" s="6">
        <v>0</v>
      </c>
      <c r="Q947" s="2" t="s">
        <v>19</v>
      </c>
    </row>
    <row r="948" spans="1:17" ht="68" x14ac:dyDescent="0.2">
      <c r="A948" t="s">
        <v>189</v>
      </c>
      <c r="B948" t="s">
        <v>115</v>
      </c>
      <c r="C948" t="s">
        <v>16</v>
      </c>
      <c r="D948" s="3">
        <v>44363</v>
      </c>
      <c r="E948" s="1">
        <v>44363.663032407407</v>
      </c>
      <c r="F948" t="s">
        <v>17</v>
      </c>
      <c r="G948" t="s">
        <v>79</v>
      </c>
      <c r="H948" s="1">
        <v>44363.53125</v>
      </c>
      <c r="I948" s="1">
        <v>44363.666666666664</v>
      </c>
      <c r="J948" s="4">
        <f t="shared" si="14"/>
        <v>0.13541666666424135</v>
      </c>
      <c r="K948" t="s">
        <v>200</v>
      </c>
      <c r="M948">
        <v>2</v>
      </c>
      <c r="N948" s="6">
        <v>0</v>
      </c>
      <c r="Q948" s="2" t="s">
        <v>19</v>
      </c>
    </row>
    <row r="949" spans="1:17" ht="68" x14ac:dyDescent="0.2">
      <c r="A949" t="s">
        <v>189</v>
      </c>
      <c r="B949" t="s">
        <v>115</v>
      </c>
      <c r="C949" t="s">
        <v>16</v>
      </c>
      <c r="D949" s="3">
        <v>44364</v>
      </c>
      <c r="E949" s="1">
        <v>44364.491770833331</v>
      </c>
      <c r="F949" t="s">
        <v>17</v>
      </c>
      <c r="G949" t="s">
        <v>77</v>
      </c>
      <c r="H949" s="1">
        <v>44364.333333333336</v>
      </c>
      <c r="I949" s="1">
        <v>44364.479166666664</v>
      </c>
      <c r="J949" s="4">
        <f t="shared" si="14"/>
        <v>0.14583333332848269</v>
      </c>
      <c r="K949" t="s">
        <v>217</v>
      </c>
      <c r="M949">
        <v>0</v>
      </c>
      <c r="N949" s="6">
        <v>0</v>
      </c>
      <c r="Q949" s="2" t="s">
        <v>19</v>
      </c>
    </row>
    <row r="950" spans="1:17" ht="68" x14ac:dyDescent="0.2">
      <c r="A950" t="s">
        <v>189</v>
      </c>
      <c r="B950" t="s">
        <v>115</v>
      </c>
      <c r="C950" t="s">
        <v>16</v>
      </c>
      <c r="D950" s="3">
        <v>44365</v>
      </c>
      <c r="E950" s="1">
        <v>44365.490601851852</v>
      </c>
      <c r="F950" t="s">
        <v>17</v>
      </c>
      <c r="G950" t="s">
        <v>64</v>
      </c>
      <c r="H950" s="1">
        <v>44365.375</v>
      </c>
      <c r="I950" s="1">
        <v>44365.489583333336</v>
      </c>
      <c r="J950" s="4">
        <f t="shared" si="14"/>
        <v>0.11458333333575865</v>
      </c>
      <c r="K950" t="s">
        <v>218</v>
      </c>
      <c r="M950">
        <v>0</v>
      </c>
      <c r="N950" s="6">
        <v>0</v>
      </c>
      <c r="Q950" s="2" t="s">
        <v>19</v>
      </c>
    </row>
    <row r="951" spans="1:17" ht="68" x14ac:dyDescent="0.2">
      <c r="A951" t="s">
        <v>189</v>
      </c>
      <c r="B951" t="s">
        <v>115</v>
      </c>
      <c r="C951" t="s">
        <v>16</v>
      </c>
      <c r="D951" s="3">
        <v>44365</v>
      </c>
      <c r="E951" s="1">
        <v>44365.658564814818</v>
      </c>
      <c r="F951" t="s">
        <v>17</v>
      </c>
      <c r="G951" t="s">
        <v>83</v>
      </c>
      <c r="H951" s="1">
        <v>44365.53125</v>
      </c>
      <c r="I951" s="1">
        <v>44365.666666666664</v>
      </c>
      <c r="J951" s="4">
        <f t="shared" si="14"/>
        <v>0.13541666666424135</v>
      </c>
      <c r="K951" t="s">
        <v>217</v>
      </c>
      <c r="M951">
        <v>0</v>
      </c>
      <c r="N951" s="6">
        <v>0</v>
      </c>
      <c r="Q951" s="2" t="s">
        <v>19</v>
      </c>
    </row>
    <row r="952" spans="1:17" ht="68" x14ac:dyDescent="0.2">
      <c r="A952" t="s">
        <v>189</v>
      </c>
      <c r="B952" t="s">
        <v>115</v>
      </c>
      <c r="C952" t="s">
        <v>16</v>
      </c>
      <c r="D952" s="3">
        <v>44375</v>
      </c>
      <c r="E952" s="1">
        <v>44375.669282407405</v>
      </c>
      <c r="F952" t="s">
        <v>17</v>
      </c>
      <c r="G952" t="s">
        <v>84</v>
      </c>
      <c r="H952" s="1">
        <v>44375.539583333331</v>
      </c>
      <c r="I952" s="1">
        <v>44375.669444444444</v>
      </c>
      <c r="J952" s="4">
        <f t="shared" si="14"/>
        <v>0.12986111111240461</v>
      </c>
      <c r="K952" t="s">
        <v>213</v>
      </c>
      <c r="M952">
        <v>5</v>
      </c>
      <c r="N952" s="6">
        <v>0</v>
      </c>
      <c r="O952" t="s">
        <v>102</v>
      </c>
      <c r="P952" t="s">
        <v>89</v>
      </c>
      <c r="Q952" s="2" t="s">
        <v>19</v>
      </c>
    </row>
    <row r="953" spans="1:17" ht="68" x14ac:dyDescent="0.2">
      <c r="A953" t="s">
        <v>189</v>
      </c>
      <c r="B953" t="s">
        <v>115</v>
      </c>
      <c r="C953" t="s">
        <v>16</v>
      </c>
      <c r="D953" s="3">
        <v>44375</v>
      </c>
      <c r="E953" s="1">
        <v>44375.66946759259</v>
      </c>
      <c r="F953" t="s">
        <v>17</v>
      </c>
      <c r="G953" t="s">
        <v>84</v>
      </c>
      <c r="H953" s="1">
        <v>44375.539583333331</v>
      </c>
      <c r="I953" s="1">
        <v>44375.669444444444</v>
      </c>
      <c r="J953" s="4">
        <f t="shared" si="14"/>
        <v>0.12986111111240461</v>
      </c>
      <c r="K953" t="s">
        <v>213</v>
      </c>
      <c r="M953">
        <v>0</v>
      </c>
      <c r="N953" s="5" t="s">
        <v>144</v>
      </c>
      <c r="Q953" s="2" t="s">
        <v>19</v>
      </c>
    </row>
    <row r="954" spans="1:17" ht="68" x14ac:dyDescent="0.2">
      <c r="A954" t="s">
        <v>189</v>
      </c>
      <c r="B954" t="s">
        <v>133</v>
      </c>
      <c r="C954" t="s">
        <v>16</v>
      </c>
      <c r="D954" s="3">
        <v>44207</v>
      </c>
      <c r="E954" s="1">
        <v>44207.465810185182</v>
      </c>
      <c r="F954" t="s">
        <v>17</v>
      </c>
      <c r="G954" t="s">
        <v>18</v>
      </c>
      <c r="H954" s="1">
        <v>44207.354166666664</v>
      </c>
      <c r="I954" s="1">
        <v>44207.479166666664</v>
      </c>
      <c r="J954" s="4">
        <f t="shared" si="14"/>
        <v>0.125</v>
      </c>
      <c r="K954" t="s">
        <v>190</v>
      </c>
      <c r="M954">
        <v>9</v>
      </c>
      <c r="N954" s="6">
        <v>0</v>
      </c>
      <c r="Q954" s="2" t="s">
        <v>19</v>
      </c>
    </row>
    <row r="955" spans="1:17" ht="68" x14ac:dyDescent="0.2">
      <c r="A955" t="s">
        <v>189</v>
      </c>
      <c r="B955" t="s">
        <v>133</v>
      </c>
      <c r="C955" t="s">
        <v>16</v>
      </c>
      <c r="D955" s="3">
        <v>44236</v>
      </c>
      <c r="E955" s="1">
        <v>44236.435046296298</v>
      </c>
      <c r="F955" t="s">
        <v>17</v>
      </c>
      <c r="G955" t="s">
        <v>20</v>
      </c>
      <c r="H955" s="1">
        <v>44236.354166666664</v>
      </c>
      <c r="I955" s="1">
        <v>44236.479166666664</v>
      </c>
      <c r="J955" s="4">
        <f t="shared" si="14"/>
        <v>0.125</v>
      </c>
      <c r="K955" t="s">
        <v>191</v>
      </c>
      <c r="M955">
        <v>4</v>
      </c>
      <c r="N955" s="6">
        <v>0</v>
      </c>
      <c r="Q955" s="2" t="s">
        <v>19</v>
      </c>
    </row>
    <row r="956" spans="1:17" ht="68" x14ac:dyDescent="0.2">
      <c r="A956" t="s">
        <v>189</v>
      </c>
      <c r="B956" t="s">
        <v>133</v>
      </c>
      <c r="C956" t="s">
        <v>16</v>
      </c>
      <c r="D956" s="3">
        <v>44236</v>
      </c>
      <c r="E956" s="1">
        <v>44236.646516203706</v>
      </c>
      <c r="F956" t="s">
        <v>17</v>
      </c>
      <c r="G956" t="s">
        <v>21</v>
      </c>
      <c r="H956" s="1">
        <v>44236.5625</v>
      </c>
      <c r="I956" s="1">
        <v>44236.6875</v>
      </c>
      <c r="J956" s="4">
        <f t="shared" si="14"/>
        <v>0.125</v>
      </c>
      <c r="K956" t="s">
        <v>192</v>
      </c>
      <c r="M956">
        <v>1</v>
      </c>
      <c r="N956" s="6">
        <v>0</v>
      </c>
      <c r="Q956" s="2" t="s">
        <v>19</v>
      </c>
    </row>
    <row r="957" spans="1:17" ht="68" x14ac:dyDescent="0.2">
      <c r="A957" t="s">
        <v>189</v>
      </c>
      <c r="B957" t="s">
        <v>133</v>
      </c>
      <c r="C957" t="s">
        <v>16</v>
      </c>
      <c r="D957" s="3">
        <v>44237</v>
      </c>
      <c r="E957" s="1">
        <v>44237.442939814813</v>
      </c>
      <c r="F957" t="s">
        <v>17</v>
      </c>
      <c r="G957" t="s">
        <v>20</v>
      </c>
      <c r="H957" s="1">
        <v>44237.354166666664</v>
      </c>
      <c r="I957" s="1">
        <v>44237.479166666664</v>
      </c>
      <c r="J957" s="4">
        <f t="shared" si="14"/>
        <v>0.125</v>
      </c>
      <c r="K957" t="s">
        <v>190</v>
      </c>
      <c r="M957">
        <v>0</v>
      </c>
      <c r="N957" s="5" t="s">
        <v>144</v>
      </c>
      <c r="Q957" s="2" t="s">
        <v>19</v>
      </c>
    </row>
    <row r="958" spans="1:17" ht="68" x14ac:dyDescent="0.2">
      <c r="A958" t="s">
        <v>189</v>
      </c>
      <c r="B958" t="s">
        <v>133</v>
      </c>
      <c r="C958" t="s">
        <v>16</v>
      </c>
      <c r="D958" s="3">
        <v>44237</v>
      </c>
      <c r="E958" s="1">
        <v>44237.474131944444</v>
      </c>
      <c r="F958" t="s">
        <v>17</v>
      </c>
      <c r="G958" t="s">
        <v>20</v>
      </c>
      <c r="H958" s="1">
        <v>44237.354166666664</v>
      </c>
      <c r="I958" s="1">
        <v>44237.479166666664</v>
      </c>
      <c r="J958" s="4">
        <f t="shared" si="14"/>
        <v>0.125</v>
      </c>
      <c r="K958" t="s">
        <v>190</v>
      </c>
      <c r="M958">
        <v>7</v>
      </c>
      <c r="N958" s="6">
        <v>0</v>
      </c>
      <c r="Q958" s="2" t="s">
        <v>19</v>
      </c>
    </row>
    <row r="959" spans="1:17" ht="68" x14ac:dyDescent="0.2">
      <c r="A959" t="s">
        <v>189</v>
      </c>
      <c r="B959" t="s">
        <v>133</v>
      </c>
      <c r="C959" t="s">
        <v>16</v>
      </c>
      <c r="D959" s="3">
        <v>44238</v>
      </c>
      <c r="E959" s="1">
        <v>44238.454652777778</v>
      </c>
      <c r="F959" t="s">
        <v>17</v>
      </c>
      <c r="G959" t="s">
        <v>22</v>
      </c>
      <c r="H959" s="1">
        <v>44238.354166666664</v>
      </c>
      <c r="I959" s="1">
        <v>44238.479166666664</v>
      </c>
      <c r="J959" s="4">
        <f t="shared" si="14"/>
        <v>0.125</v>
      </c>
      <c r="K959" t="s">
        <v>191</v>
      </c>
      <c r="M959">
        <v>6</v>
      </c>
      <c r="N959" s="6">
        <v>0</v>
      </c>
      <c r="Q959" s="2" t="s">
        <v>19</v>
      </c>
    </row>
    <row r="960" spans="1:17" ht="68" x14ac:dyDescent="0.2">
      <c r="A960" t="s">
        <v>189</v>
      </c>
      <c r="B960" t="s">
        <v>133</v>
      </c>
      <c r="C960" t="s">
        <v>16</v>
      </c>
      <c r="D960" s="3">
        <v>44238</v>
      </c>
      <c r="E960" s="1">
        <v>44238.632280092592</v>
      </c>
      <c r="F960" t="s">
        <v>17</v>
      </c>
      <c r="G960" t="s">
        <v>23</v>
      </c>
      <c r="H960" s="1">
        <v>44238.5625</v>
      </c>
      <c r="I960" s="1">
        <v>44238.6875</v>
      </c>
      <c r="J960" s="4">
        <f t="shared" si="14"/>
        <v>0.125</v>
      </c>
      <c r="K960" t="s">
        <v>192</v>
      </c>
      <c r="M960">
        <v>9</v>
      </c>
      <c r="N960" s="6">
        <v>0</v>
      </c>
      <c r="Q960" s="2" t="s">
        <v>19</v>
      </c>
    </row>
    <row r="961" spans="1:17" ht="68" x14ac:dyDescent="0.2">
      <c r="A961" t="s">
        <v>189</v>
      </c>
      <c r="B961" t="s">
        <v>133</v>
      </c>
      <c r="C961" t="s">
        <v>16</v>
      </c>
      <c r="D961" s="3">
        <v>44239</v>
      </c>
      <c r="E961" s="1">
        <v>44239.470625000002</v>
      </c>
      <c r="F961" t="s">
        <v>17</v>
      </c>
      <c r="G961" t="s">
        <v>24</v>
      </c>
      <c r="H961" s="1">
        <v>44239.354166666664</v>
      </c>
      <c r="I961" s="1">
        <v>44239.479166666664</v>
      </c>
      <c r="J961" s="4">
        <f t="shared" si="14"/>
        <v>0.125</v>
      </c>
      <c r="K961" t="s">
        <v>190</v>
      </c>
      <c r="M961">
        <v>19</v>
      </c>
      <c r="N961" s="6">
        <v>0</v>
      </c>
      <c r="Q961" s="2" t="s">
        <v>19</v>
      </c>
    </row>
    <row r="962" spans="1:17" ht="68" x14ac:dyDescent="0.2">
      <c r="A962" t="s">
        <v>189</v>
      </c>
      <c r="B962" t="s">
        <v>133</v>
      </c>
      <c r="C962" t="s">
        <v>16</v>
      </c>
      <c r="D962" s="3">
        <v>44242</v>
      </c>
      <c r="E962" s="1">
        <v>44242.473553240743</v>
      </c>
      <c r="F962" t="s">
        <v>17</v>
      </c>
      <c r="G962" t="s">
        <v>20</v>
      </c>
      <c r="H962" s="1">
        <v>44242.354166666664</v>
      </c>
      <c r="I962" s="1">
        <v>44242.479166666664</v>
      </c>
      <c r="J962" s="4">
        <f t="shared" si="14"/>
        <v>0.125</v>
      </c>
      <c r="K962" t="s">
        <v>190</v>
      </c>
      <c r="M962">
        <v>14</v>
      </c>
      <c r="N962" s="6">
        <v>0</v>
      </c>
      <c r="Q962" s="2" t="s">
        <v>19</v>
      </c>
    </row>
    <row r="963" spans="1:17" ht="68" x14ac:dyDescent="0.2">
      <c r="A963" t="s">
        <v>189</v>
      </c>
      <c r="B963" t="s">
        <v>133</v>
      </c>
      <c r="C963" t="s">
        <v>16</v>
      </c>
      <c r="D963" s="3">
        <v>44243</v>
      </c>
      <c r="E963" s="1">
        <v>44243.371631944443</v>
      </c>
      <c r="F963" t="s">
        <v>17</v>
      </c>
      <c r="G963" t="s">
        <v>20</v>
      </c>
      <c r="H963" s="1">
        <v>44243.354166666664</v>
      </c>
      <c r="I963" s="1">
        <v>44243.479166666664</v>
      </c>
      <c r="J963" s="4">
        <f t="shared" ref="J963:J1026" si="15">IF($I963="","",$I963-$H963)</f>
        <v>0.125</v>
      </c>
      <c r="K963" t="s">
        <v>191</v>
      </c>
      <c r="M963">
        <v>5</v>
      </c>
      <c r="N963" s="6">
        <v>0</v>
      </c>
      <c r="Q963" s="2" t="s">
        <v>19</v>
      </c>
    </row>
    <row r="964" spans="1:17" ht="68" x14ac:dyDescent="0.2">
      <c r="A964" t="s">
        <v>189</v>
      </c>
      <c r="B964" t="s">
        <v>133</v>
      </c>
      <c r="C964" t="s">
        <v>16</v>
      </c>
      <c r="D964" s="3">
        <v>44243</v>
      </c>
      <c r="E964" s="1">
        <v>44243.577233796299</v>
      </c>
      <c r="F964" t="s">
        <v>17</v>
      </c>
      <c r="G964" t="s">
        <v>25</v>
      </c>
      <c r="H964" s="1">
        <v>44243.5625</v>
      </c>
      <c r="I964" s="1">
        <v>44243.6875</v>
      </c>
      <c r="J964" s="4">
        <f t="shared" si="15"/>
        <v>0.125</v>
      </c>
      <c r="K964" t="s">
        <v>192</v>
      </c>
      <c r="M964">
        <v>6</v>
      </c>
      <c r="N964" s="6">
        <v>0</v>
      </c>
      <c r="Q964" s="2" t="s">
        <v>19</v>
      </c>
    </row>
    <row r="965" spans="1:17" ht="68" x14ac:dyDescent="0.2">
      <c r="A965" t="s">
        <v>189</v>
      </c>
      <c r="B965" t="s">
        <v>133</v>
      </c>
      <c r="C965" t="s">
        <v>16</v>
      </c>
      <c r="D965" s="3">
        <v>44243</v>
      </c>
      <c r="E965" s="1">
        <v>44243.586539351854</v>
      </c>
      <c r="F965" t="s">
        <v>17</v>
      </c>
      <c r="G965" t="s">
        <v>25</v>
      </c>
      <c r="H965" s="1">
        <v>44243.5625</v>
      </c>
      <c r="I965" s="1">
        <v>44243.6875</v>
      </c>
      <c r="J965" s="4">
        <f t="shared" si="15"/>
        <v>0.125</v>
      </c>
      <c r="K965" t="s">
        <v>192</v>
      </c>
      <c r="M965">
        <v>9</v>
      </c>
      <c r="N965" s="6">
        <v>0</v>
      </c>
      <c r="Q965" s="2" t="s">
        <v>19</v>
      </c>
    </row>
    <row r="966" spans="1:17" ht="68" x14ac:dyDescent="0.2">
      <c r="A966" t="s">
        <v>189</v>
      </c>
      <c r="B966" t="s">
        <v>133</v>
      </c>
      <c r="C966" t="s">
        <v>16</v>
      </c>
      <c r="D966" s="3">
        <v>44244</v>
      </c>
      <c r="E966" s="1">
        <v>44244.362546296295</v>
      </c>
      <c r="F966" t="s">
        <v>17</v>
      </c>
      <c r="G966" t="s">
        <v>26</v>
      </c>
      <c r="H966" s="1">
        <v>44244.354166666664</v>
      </c>
      <c r="I966" s="1">
        <v>44244.479166666664</v>
      </c>
      <c r="J966" s="4">
        <f t="shared" si="15"/>
        <v>0.125</v>
      </c>
      <c r="K966" t="s">
        <v>190</v>
      </c>
      <c r="M966">
        <v>17</v>
      </c>
      <c r="N966" s="6">
        <v>0</v>
      </c>
      <c r="Q966" s="2" t="s">
        <v>19</v>
      </c>
    </row>
    <row r="967" spans="1:17" ht="68" x14ac:dyDescent="0.2">
      <c r="A967" t="s">
        <v>189</v>
      </c>
      <c r="B967" t="s">
        <v>133</v>
      </c>
      <c r="C967" t="s">
        <v>16</v>
      </c>
      <c r="D967" s="3">
        <v>44244</v>
      </c>
      <c r="E967" s="1">
        <v>44244.450740740744</v>
      </c>
      <c r="F967" t="s">
        <v>17</v>
      </c>
      <c r="G967" t="s">
        <v>26</v>
      </c>
      <c r="H967" s="1">
        <v>44244.354166666664</v>
      </c>
      <c r="I967" s="1">
        <v>44244.479166666664</v>
      </c>
      <c r="J967" s="4">
        <f t="shared" si="15"/>
        <v>0.125</v>
      </c>
      <c r="K967" t="s">
        <v>190</v>
      </c>
      <c r="M967">
        <v>7</v>
      </c>
      <c r="N967" s="6">
        <v>0</v>
      </c>
      <c r="Q967" s="2" t="s">
        <v>19</v>
      </c>
    </row>
    <row r="968" spans="1:17" ht="68" x14ac:dyDescent="0.2">
      <c r="A968" t="s">
        <v>189</v>
      </c>
      <c r="B968" t="s">
        <v>133</v>
      </c>
      <c r="C968" t="s">
        <v>16</v>
      </c>
      <c r="D968" s="3">
        <v>44245</v>
      </c>
      <c r="E968" s="1">
        <v>44245.463287037041</v>
      </c>
      <c r="F968" t="s">
        <v>17</v>
      </c>
      <c r="G968" t="s">
        <v>27</v>
      </c>
      <c r="H968" s="1">
        <v>44245.354166666664</v>
      </c>
      <c r="I968" s="1">
        <v>44245.479166666664</v>
      </c>
      <c r="J968" s="4">
        <f t="shared" si="15"/>
        <v>0.125</v>
      </c>
      <c r="K968" t="s">
        <v>191</v>
      </c>
      <c r="M968">
        <v>12</v>
      </c>
      <c r="N968" s="6">
        <v>0</v>
      </c>
      <c r="Q968" s="2" t="s">
        <v>19</v>
      </c>
    </row>
    <row r="969" spans="1:17" ht="68" x14ac:dyDescent="0.2">
      <c r="A969" t="s">
        <v>189</v>
      </c>
      <c r="B969" t="s">
        <v>133</v>
      </c>
      <c r="C969" t="s">
        <v>16</v>
      </c>
      <c r="D969" s="3">
        <v>44245</v>
      </c>
      <c r="E969" s="1">
        <v>44245.620462962965</v>
      </c>
      <c r="F969" t="s">
        <v>17</v>
      </c>
      <c r="G969" t="s">
        <v>28</v>
      </c>
      <c r="H969" s="1">
        <v>44245.5625</v>
      </c>
      <c r="I969" s="1">
        <v>44245.635416666664</v>
      </c>
      <c r="J969" s="4">
        <f t="shared" si="15"/>
        <v>7.2916666664241347E-2</v>
      </c>
      <c r="K969" t="s">
        <v>192</v>
      </c>
      <c r="M969">
        <v>3</v>
      </c>
      <c r="N969" s="6">
        <v>0</v>
      </c>
      <c r="Q969" s="2" t="s">
        <v>19</v>
      </c>
    </row>
    <row r="970" spans="1:17" ht="68" x14ac:dyDescent="0.2">
      <c r="A970" t="s">
        <v>189</v>
      </c>
      <c r="B970" t="s">
        <v>133</v>
      </c>
      <c r="C970" t="s">
        <v>16</v>
      </c>
      <c r="D970" s="3">
        <v>44246</v>
      </c>
      <c r="E970" s="1">
        <v>44246.472696759258</v>
      </c>
      <c r="F970" t="s">
        <v>17</v>
      </c>
      <c r="G970" t="s">
        <v>24</v>
      </c>
      <c r="H970" s="1">
        <v>44246.354166666664</v>
      </c>
      <c r="I970" s="1">
        <v>44246.479166666664</v>
      </c>
      <c r="J970" s="4">
        <f t="shared" si="15"/>
        <v>0.125</v>
      </c>
      <c r="K970" t="s">
        <v>190</v>
      </c>
      <c r="M970">
        <v>5</v>
      </c>
      <c r="N970" s="6">
        <v>0</v>
      </c>
      <c r="Q970" s="2" t="s">
        <v>19</v>
      </c>
    </row>
    <row r="971" spans="1:17" ht="68" x14ac:dyDescent="0.2">
      <c r="A971" t="s">
        <v>189</v>
      </c>
      <c r="B971" t="s">
        <v>133</v>
      </c>
      <c r="C971" t="s">
        <v>16</v>
      </c>
      <c r="D971" s="3">
        <v>44249</v>
      </c>
      <c r="E971" s="1">
        <v>44249.477337962962</v>
      </c>
      <c r="F971" t="s">
        <v>17</v>
      </c>
      <c r="G971" t="s">
        <v>29</v>
      </c>
      <c r="H971" s="1">
        <v>44249.354166666664</v>
      </c>
      <c r="I971" s="1">
        <v>44249.479166666664</v>
      </c>
      <c r="J971" s="4">
        <f t="shared" si="15"/>
        <v>0.125</v>
      </c>
      <c r="K971" t="s">
        <v>190</v>
      </c>
      <c r="M971">
        <v>4</v>
      </c>
      <c r="N971" s="6">
        <v>0</v>
      </c>
      <c r="Q971" s="2" t="s">
        <v>19</v>
      </c>
    </row>
    <row r="972" spans="1:17" ht="68" x14ac:dyDescent="0.2">
      <c r="A972" t="s">
        <v>189</v>
      </c>
      <c r="B972" t="s">
        <v>133</v>
      </c>
      <c r="C972" t="s">
        <v>16</v>
      </c>
      <c r="D972" s="3">
        <v>44250</v>
      </c>
      <c r="E972" s="1">
        <v>44250.463020833333</v>
      </c>
      <c r="F972" t="s">
        <v>17</v>
      </c>
      <c r="G972" t="s">
        <v>20</v>
      </c>
      <c r="H972" s="1">
        <v>44250.354166666664</v>
      </c>
      <c r="I972" s="1">
        <v>44250.479166666664</v>
      </c>
      <c r="J972" s="4">
        <f t="shared" si="15"/>
        <v>0.125</v>
      </c>
      <c r="K972" t="s">
        <v>191</v>
      </c>
      <c r="M972">
        <v>8</v>
      </c>
      <c r="N972" s="6">
        <v>0</v>
      </c>
      <c r="Q972" s="2" t="s">
        <v>19</v>
      </c>
    </row>
    <row r="973" spans="1:17" ht="68" x14ac:dyDescent="0.2">
      <c r="A973" t="s">
        <v>189</v>
      </c>
      <c r="B973" t="s">
        <v>133</v>
      </c>
      <c r="C973" t="s">
        <v>16</v>
      </c>
      <c r="D973" s="3">
        <v>44250</v>
      </c>
      <c r="E973" s="1">
        <v>44250.604189814818</v>
      </c>
      <c r="F973" t="s">
        <v>17</v>
      </c>
      <c r="G973" t="s">
        <v>30</v>
      </c>
      <c r="H973" s="1">
        <v>44250.5625</v>
      </c>
      <c r="I973" s="1">
        <v>44250.6875</v>
      </c>
      <c r="J973" s="4">
        <f t="shared" si="15"/>
        <v>0.125</v>
      </c>
      <c r="K973" t="s">
        <v>192</v>
      </c>
      <c r="M973">
        <v>12</v>
      </c>
      <c r="N973" s="6">
        <v>0</v>
      </c>
      <c r="Q973" s="2" t="s">
        <v>19</v>
      </c>
    </row>
    <row r="974" spans="1:17" ht="68" x14ac:dyDescent="0.2">
      <c r="A974" t="s">
        <v>189</v>
      </c>
      <c r="B974" t="s">
        <v>133</v>
      </c>
      <c r="C974" t="s">
        <v>16</v>
      </c>
      <c r="D974" s="3">
        <v>44251</v>
      </c>
      <c r="E974" s="1">
        <v>44251.473657407405</v>
      </c>
      <c r="F974" t="s">
        <v>17</v>
      </c>
      <c r="G974" t="s">
        <v>31</v>
      </c>
      <c r="H974" s="1">
        <v>44251.354166666664</v>
      </c>
      <c r="I974" s="1">
        <v>44251.479166666664</v>
      </c>
      <c r="J974" s="4">
        <f t="shared" si="15"/>
        <v>0.125</v>
      </c>
      <c r="K974" t="s">
        <v>190</v>
      </c>
      <c r="M974">
        <v>10</v>
      </c>
      <c r="N974" s="6">
        <v>0</v>
      </c>
      <c r="Q974" s="2" t="s">
        <v>19</v>
      </c>
    </row>
    <row r="975" spans="1:17" ht="68" x14ac:dyDescent="0.2">
      <c r="A975" t="s">
        <v>189</v>
      </c>
      <c r="B975" t="s">
        <v>133</v>
      </c>
      <c r="C975" t="s">
        <v>16</v>
      </c>
      <c r="D975" s="3">
        <v>44252</v>
      </c>
      <c r="E975" s="1">
        <v>44252.473587962966</v>
      </c>
      <c r="F975" t="s">
        <v>17</v>
      </c>
      <c r="G975" t="s">
        <v>27</v>
      </c>
      <c r="H975" s="1">
        <v>44252.354166666664</v>
      </c>
      <c r="I975" s="1">
        <v>44252.479166666664</v>
      </c>
      <c r="J975" s="4">
        <f t="shared" si="15"/>
        <v>0.125</v>
      </c>
      <c r="K975" t="s">
        <v>191</v>
      </c>
      <c r="M975">
        <v>14</v>
      </c>
      <c r="N975" s="6">
        <v>0</v>
      </c>
      <c r="Q975" s="2" t="s">
        <v>19</v>
      </c>
    </row>
    <row r="976" spans="1:17" ht="68" x14ac:dyDescent="0.2">
      <c r="A976" t="s">
        <v>189</v>
      </c>
      <c r="B976" t="s">
        <v>133</v>
      </c>
      <c r="C976" t="s">
        <v>16</v>
      </c>
      <c r="D976" s="3">
        <v>44252</v>
      </c>
      <c r="E976" s="1">
        <v>44252.584189814814</v>
      </c>
      <c r="F976" t="s">
        <v>17</v>
      </c>
      <c r="G976" t="s">
        <v>23</v>
      </c>
      <c r="H976" s="1">
        <v>44252.5625</v>
      </c>
      <c r="I976" s="1">
        <v>44252.6875</v>
      </c>
      <c r="J976" s="4">
        <f t="shared" si="15"/>
        <v>0.125</v>
      </c>
      <c r="K976" t="s">
        <v>192</v>
      </c>
      <c r="M976">
        <v>15</v>
      </c>
      <c r="N976" s="6">
        <v>0</v>
      </c>
      <c r="Q976" s="2" t="s">
        <v>19</v>
      </c>
    </row>
    <row r="977" spans="1:17" ht="68" x14ac:dyDescent="0.2">
      <c r="A977" t="s">
        <v>189</v>
      </c>
      <c r="B977" t="s">
        <v>133</v>
      </c>
      <c r="C977" t="s">
        <v>16</v>
      </c>
      <c r="D977" s="3">
        <v>44253</v>
      </c>
      <c r="E977" s="1">
        <v>44253.365324074075</v>
      </c>
      <c r="F977" t="s">
        <v>17</v>
      </c>
      <c r="G977" t="s">
        <v>24</v>
      </c>
      <c r="H977" s="1">
        <v>44253.354166666664</v>
      </c>
      <c r="I977" s="1">
        <v>44253.479166666664</v>
      </c>
      <c r="J977" s="4">
        <f t="shared" si="15"/>
        <v>0.125</v>
      </c>
      <c r="K977" t="s">
        <v>190</v>
      </c>
      <c r="M977">
        <v>13</v>
      </c>
      <c r="N977" s="6">
        <v>0</v>
      </c>
      <c r="Q977" s="2" t="s">
        <v>19</v>
      </c>
    </row>
    <row r="978" spans="1:17" ht="68" x14ac:dyDescent="0.2">
      <c r="A978" t="s">
        <v>189</v>
      </c>
      <c r="B978" t="s">
        <v>133</v>
      </c>
      <c r="C978" t="s">
        <v>16</v>
      </c>
      <c r="D978" s="3">
        <v>44253</v>
      </c>
      <c r="E978" s="1">
        <v>44253.473391203705</v>
      </c>
      <c r="F978" t="s">
        <v>17</v>
      </c>
      <c r="G978" t="s">
        <v>24</v>
      </c>
      <c r="H978" s="1">
        <v>44253.354166666664</v>
      </c>
      <c r="I978" s="1">
        <v>44253.479166666664</v>
      </c>
      <c r="J978" s="4">
        <f t="shared" si="15"/>
        <v>0.125</v>
      </c>
      <c r="K978" t="s">
        <v>190</v>
      </c>
      <c r="M978">
        <v>7</v>
      </c>
      <c r="N978" s="6">
        <v>0</v>
      </c>
      <c r="Q978" s="2" t="s">
        <v>19</v>
      </c>
    </row>
    <row r="979" spans="1:17" ht="68" x14ac:dyDescent="0.2">
      <c r="A979" t="s">
        <v>189</v>
      </c>
      <c r="B979" t="s">
        <v>133</v>
      </c>
      <c r="C979" t="s">
        <v>16</v>
      </c>
      <c r="D979" s="3">
        <v>44256</v>
      </c>
      <c r="E979" s="1">
        <v>44256.468807870369</v>
      </c>
      <c r="F979" t="s">
        <v>17</v>
      </c>
      <c r="G979" t="s">
        <v>26</v>
      </c>
      <c r="H979" s="1">
        <v>44256.354166666664</v>
      </c>
      <c r="I979" s="1">
        <v>44256.479166666664</v>
      </c>
      <c r="J979" s="4">
        <f t="shared" si="15"/>
        <v>0.125</v>
      </c>
      <c r="K979" t="s">
        <v>190</v>
      </c>
      <c r="M979">
        <v>4</v>
      </c>
      <c r="N979" s="6">
        <v>0</v>
      </c>
      <c r="Q979" s="2" t="s">
        <v>19</v>
      </c>
    </row>
    <row r="980" spans="1:17" ht="68" x14ac:dyDescent="0.2">
      <c r="A980" t="s">
        <v>189</v>
      </c>
      <c r="B980" t="s">
        <v>133</v>
      </c>
      <c r="C980" t="s">
        <v>16</v>
      </c>
      <c r="D980" s="3">
        <v>44257</v>
      </c>
      <c r="E980" s="1">
        <v>44257.470081018517</v>
      </c>
      <c r="F980" t="s">
        <v>17</v>
      </c>
      <c r="G980" t="s">
        <v>32</v>
      </c>
      <c r="H980" s="1">
        <v>44257.354166666664</v>
      </c>
      <c r="I980" s="1">
        <v>44257.479166666664</v>
      </c>
      <c r="J980" s="4">
        <f t="shared" si="15"/>
        <v>0.125</v>
      </c>
      <c r="K980" t="s">
        <v>191</v>
      </c>
      <c r="M980">
        <v>8</v>
      </c>
      <c r="N980" s="6">
        <v>0</v>
      </c>
      <c r="Q980" s="2" t="s">
        <v>19</v>
      </c>
    </row>
    <row r="981" spans="1:17" ht="68" x14ac:dyDescent="0.2">
      <c r="A981" t="s">
        <v>189</v>
      </c>
      <c r="B981" t="s">
        <v>133</v>
      </c>
      <c r="C981" t="s">
        <v>16</v>
      </c>
      <c r="D981" s="3">
        <v>44257</v>
      </c>
      <c r="E981" s="1">
        <v>44257.583009259259</v>
      </c>
      <c r="F981" t="s">
        <v>17</v>
      </c>
      <c r="G981" t="s">
        <v>33</v>
      </c>
      <c r="H981" s="1">
        <v>44257.5625</v>
      </c>
      <c r="I981" s="1">
        <v>44257.6875</v>
      </c>
      <c r="J981" s="4">
        <f t="shared" si="15"/>
        <v>0.125</v>
      </c>
      <c r="K981" t="s">
        <v>192</v>
      </c>
      <c r="M981">
        <v>13</v>
      </c>
      <c r="N981" s="6">
        <v>0</v>
      </c>
      <c r="Q981" s="2" t="s">
        <v>19</v>
      </c>
    </row>
    <row r="982" spans="1:17" ht="68" x14ac:dyDescent="0.2">
      <c r="A982" t="s">
        <v>189</v>
      </c>
      <c r="B982" t="s">
        <v>133</v>
      </c>
      <c r="C982" t="s">
        <v>16</v>
      </c>
      <c r="D982" s="3">
        <v>44258</v>
      </c>
      <c r="E982" s="1">
        <v>44258.363020833334</v>
      </c>
      <c r="F982" t="s">
        <v>17</v>
      </c>
      <c r="G982" t="s">
        <v>31</v>
      </c>
      <c r="H982" s="1">
        <v>44258.354166666664</v>
      </c>
      <c r="I982" s="1">
        <v>44258.458333333336</v>
      </c>
      <c r="J982" s="4">
        <f t="shared" si="15"/>
        <v>0.10416666667151731</v>
      </c>
      <c r="K982" t="s">
        <v>190</v>
      </c>
      <c r="M982">
        <v>13</v>
      </c>
      <c r="N982" s="6">
        <v>0</v>
      </c>
      <c r="Q982" s="2" t="s">
        <v>19</v>
      </c>
    </row>
    <row r="983" spans="1:17" ht="68" x14ac:dyDescent="0.2">
      <c r="A983" t="s">
        <v>189</v>
      </c>
      <c r="B983" t="s">
        <v>133</v>
      </c>
      <c r="C983" t="s">
        <v>16</v>
      </c>
      <c r="D983" s="3">
        <v>44259</v>
      </c>
      <c r="E983" s="1">
        <v>44259.473402777781</v>
      </c>
      <c r="F983" t="s">
        <v>17</v>
      </c>
      <c r="G983" t="s">
        <v>24</v>
      </c>
      <c r="H983" s="1">
        <v>44259.354166666664</v>
      </c>
      <c r="I983" s="1">
        <v>44259.479166666664</v>
      </c>
      <c r="J983" s="4">
        <f t="shared" si="15"/>
        <v>0.125</v>
      </c>
      <c r="K983" t="s">
        <v>191</v>
      </c>
      <c r="M983">
        <v>6</v>
      </c>
      <c r="N983" s="6">
        <v>0</v>
      </c>
      <c r="Q983" s="2" t="s">
        <v>19</v>
      </c>
    </row>
    <row r="984" spans="1:17" ht="68" x14ac:dyDescent="0.2">
      <c r="A984" t="s">
        <v>189</v>
      </c>
      <c r="B984" t="s">
        <v>133</v>
      </c>
      <c r="C984" t="s">
        <v>16</v>
      </c>
      <c r="D984" s="3">
        <v>44259</v>
      </c>
      <c r="E984" s="1">
        <v>44259.57</v>
      </c>
      <c r="F984" t="s">
        <v>17</v>
      </c>
      <c r="G984" t="s">
        <v>25</v>
      </c>
      <c r="H984" s="1">
        <v>44259.5625</v>
      </c>
      <c r="I984" s="1">
        <v>44259.625</v>
      </c>
      <c r="J984" s="4">
        <f t="shared" si="15"/>
        <v>6.25E-2</v>
      </c>
      <c r="K984" t="s">
        <v>192</v>
      </c>
      <c r="M984">
        <v>2</v>
      </c>
      <c r="N984" s="6">
        <v>0</v>
      </c>
      <c r="Q984" s="2" t="s">
        <v>19</v>
      </c>
    </row>
    <row r="985" spans="1:17" ht="68" x14ac:dyDescent="0.2">
      <c r="A985" t="s">
        <v>189</v>
      </c>
      <c r="B985" t="s">
        <v>133</v>
      </c>
      <c r="C985" t="s">
        <v>16</v>
      </c>
      <c r="D985" s="3">
        <v>44260</v>
      </c>
      <c r="E985" s="1">
        <v>44260.467430555553</v>
      </c>
      <c r="F985" t="s">
        <v>17</v>
      </c>
      <c r="G985" t="s">
        <v>31</v>
      </c>
      <c r="H985" s="1">
        <v>44260.354166666664</v>
      </c>
      <c r="I985" s="1">
        <v>44260.479166666664</v>
      </c>
      <c r="J985" s="4">
        <f t="shared" si="15"/>
        <v>0.125</v>
      </c>
      <c r="K985" t="s">
        <v>190</v>
      </c>
      <c r="M985">
        <v>4</v>
      </c>
      <c r="N985" s="6">
        <v>0</v>
      </c>
      <c r="Q985" s="2" t="s">
        <v>19</v>
      </c>
    </row>
    <row r="986" spans="1:17" ht="68" x14ac:dyDescent="0.2">
      <c r="A986" t="s">
        <v>189</v>
      </c>
      <c r="B986" t="s">
        <v>133</v>
      </c>
      <c r="C986" t="s">
        <v>16</v>
      </c>
      <c r="D986" s="3">
        <v>44263</v>
      </c>
      <c r="E986" s="1">
        <v>44263.472384259258</v>
      </c>
      <c r="F986" t="s">
        <v>17</v>
      </c>
      <c r="G986" t="s">
        <v>26</v>
      </c>
      <c r="H986" s="1">
        <v>44263.354166666664</v>
      </c>
      <c r="I986" s="1">
        <v>44263.479166666664</v>
      </c>
      <c r="J986" s="4">
        <f t="shared" si="15"/>
        <v>0.125</v>
      </c>
      <c r="K986" t="s">
        <v>190</v>
      </c>
      <c r="M986">
        <v>11</v>
      </c>
      <c r="N986" s="6">
        <v>0</v>
      </c>
      <c r="Q986" s="2" t="s">
        <v>19</v>
      </c>
    </row>
    <row r="987" spans="1:17" ht="68" x14ac:dyDescent="0.2">
      <c r="A987" t="s">
        <v>189</v>
      </c>
      <c r="B987" t="s">
        <v>133</v>
      </c>
      <c r="C987" t="s">
        <v>16</v>
      </c>
      <c r="D987" s="3">
        <v>44264</v>
      </c>
      <c r="E987" s="1">
        <v>44264.475335648145</v>
      </c>
      <c r="F987" t="s">
        <v>17</v>
      </c>
      <c r="G987" t="s">
        <v>24</v>
      </c>
      <c r="H987" s="1">
        <v>44264.354166666664</v>
      </c>
      <c r="I987" s="1">
        <v>44264.479166666664</v>
      </c>
      <c r="J987" s="4">
        <f t="shared" si="15"/>
        <v>0.125</v>
      </c>
      <c r="K987" t="s">
        <v>191</v>
      </c>
      <c r="M987">
        <v>5</v>
      </c>
      <c r="N987" s="6">
        <v>0</v>
      </c>
      <c r="Q987" s="2" t="s">
        <v>19</v>
      </c>
    </row>
    <row r="988" spans="1:17" ht="68" x14ac:dyDescent="0.2">
      <c r="A988" t="s">
        <v>189</v>
      </c>
      <c r="B988" t="s">
        <v>133</v>
      </c>
      <c r="C988" t="s">
        <v>16</v>
      </c>
      <c r="D988" s="3">
        <v>44264</v>
      </c>
      <c r="E988" s="1">
        <v>44264.580243055556</v>
      </c>
      <c r="F988" t="s">
        <v>17</v>
      </c>
      <c r="G988" t="s">
        <v>34</v>
      </c>
      <c r="H988" s="1">
        <v>44264.5625</v>
      </c>
      <c r="I988" s="1">
        <v>44264.6875</v>
      </c>
      <c r="J988" s="4">
        <f t="shared" si="15"/>
        <v>0.125</v>
      </c>
      <c r="K988" t="s">
        <v>192</v>
      </c>
      <c r="M988">
        <v>22</v>
      </c>
      <c r="N988" s="6">
        <v>0</v>
      </c>
      <c r="Q988" s="2" t="s">
        <v>19</v>
      </c>
    </row>
    <row r="989" spans="1:17" ht="68" x14ac:dyDescent="0.2">
      <c r="A989" t="s">
        <v>189</v>
      </c>
      <c r="B989" t="s">
        <v>133</v>
      </c>
      <c r="C989" t="s">
        <v>16</v>
      </c>
      <c r="D989" s="3">
        <v>44265</v>
      </c>
      <c r="E989" s="1">
        <v>44265.473715277774</v>
      </c>
      <c r="F989" t="s">
        <v>17</v>
      </c>
      <c r="G989" t="s">
        <v>24</v>
      </c>
      <c r="H989" s="1">
        <v>44265.354166666664</v>
      </c>
      <c r="I989" s="1">
        <v>44265.479166666664</v>
      </c>
      <c r="J989" s="4">
        <f t="shared" si="15"/>
        <v>0.125</v>
      </c>
      <c r="K989" t="s">
        <v>190</v>
      </c>
      <c r="M989">
        <v>2</v>
      </c>
      <c r="N989" s="6">
        <v>0</v>
      </c>
      <c r="Q989" s="2" t="s">
        <v>19</v>
      </c>
    </row>
    <row r="990" spans="1:17" ht="68" x14ac:dyDescent="0.2">
      <c r="A990" t="s">
        <v>189</v>
      </c>
      <c r="B990" t="s">
        <v>133</v>
      </c>
      <c r="C990" t="s">
        <v>16</v>
      </c>
      <c r="D990" s="3">
        <v>44266</v>
      </c>
      <c r="E990" s="1">
        <v>44266.385787037034</v>
      </c>
      <c r="F990" t="s">
        <v>17</v>
      </c>
      <c r="G990" t="s">
        <v>39</v>
      </c>
      <c r="H990" s="1">
        <v>44266.377083333333</v>
      </c>
      <c r="I990" s="1">
        <v>44266.510416666664</v>
      </c>
      <c r="J990" s="4">
        <f t="shared" si="15"/>
        <v>0.13333333333139308</v>
      </c>
      <c r="K990" t="s">
        <v>192</v>
      </c>
      <c r="M990">
        <v>10</v>
      </c>
      <c r="N990" s="6">
        <v>0</v>
      </c>
      <c r="Q990" s="2" t="s">
        <v>19</v>
      </c>
    </row>
    <row r="991" spans="1:17" ht="68" x14ac:dyDescent="0.2">
      <c r="A991" t="s">
        <v>189</v>
      </c>
      <c r="B991" t="s">
        <v>133</v>
      </c>
      <c r="C991" t="s">
        <v>16</v>
      </c>
      <c r="D991" s="3">
        <v>44266</v>
      </c>
      <c r="E991" s="1">
        <v>44266.609016203707</v>
      </c>
      <c r="F991" t="s">
        <v>17</v>
      </c>
      <c r="G991" t="s">
        <v>35</v>
      </c>
      <c r="H991" s="1">
        <v>44266.53125</v>
      </c>
      <c r="I991" s="1">
        <v>44266.666666666664</v>
      </c>
      <c r="J991" s="4">
        <f t="shared" si="15"/>
        <v>0.13541666666424135</v>
      </c>
      <c r="K991" t="s">
        <v>192</v>
      </c>
      <c r="M991">
        <v>6</v>
      </c>
      <c r="N991" s="6">
        <v>0</v>
      </c>
      <c r="Q991" s="2" t="s">
        <v>19</v>
      </c>
    </row>
    <row r="992" spans="1:17" ht="68" x14ac:dyDescent="0.2">
      <c r="A992" t="s">
        <v>189</v>
      </c>
      <c r="B992" t="s">
        <v>133</v>
      </c>
      <c r="C992" t="s">
        <v>16</v>
      </c>
      <c r="D992" s="3">
        <v>44270</v>
      </c>
      <c r="E992" s="1">
        <v>44270.472199074073</v>
      </c>
      <c r="F992" t="s">
        <v>17</v>
      </c>
      <c r="G992" t="s">
        <v>24</v>
      </c>
      <c r="H992" s="1">
        <v>44270.354166666664</v>
      </c>
      <c r="I992" s="1">
        <v>44270.479166666664</v>
      </c>
      <c r="J992" s="4">
        <f t="shared" si="15"/>
        <v>0.125</v>
      </c>
      <c r="K992" t="s">
        <v>190</v>
      </c>
      <c r="M992">
        <v>3</v>
      </c>
      <c r="N992" s="6">
        <v>0</v>
      </c>
      <c r="Q992" s="2" t="s">
        <v>19</v>
      </c>
    </row>
    <row r="993" spans="1:17" ht="68" x14ac:dyDescent="0.2">
      <c r="A993" t="s">
        <v>189</v>
      </c>
      <c r="B993" t="s">
        <v>133</v>
      </c>
      <c r="C993" t="s">
        <v>16</v>
      </c>
      <c r="D993" s="3">
        <v>44271</v>
      </c>
      <c r="E993" s="1">
        <v>44271.420740740738</v>
      </c>
      <c r="F993" t="s">
        <v>17</v>
      </c>
      <c r="G993" t="s">
        <v>36</v>
      </c>
      <c r="H993" s="1">
        <v>44271.375</v>
      </c>
      <c r="I993" s="1">
        <v>44271.489583333336</v>
      </c>
      <c r="J993" s="4">
        <f t="shared" si="15"/>
        <v>0.11458333333575865</v>
      </c>
      <c r="K993" t="s">
        <v>192</v>
      </c>
      <c r="M993">
        <v>4</v>
      </c>
      <c r="N993" s="6">
        <v>0</v>
      </c>
      <c r="Q993" s="2" t="s">
        <v>19</v>
      </c>
    </row>
    <row r="994" spans="1:17" ht="68" x14ac:dyDescent="0.2">
      <c r="A994" t="s">
        <v>189</v>
      </c>
      <c r="B994" t="s">
        <v>133</v>
      </c>
      <c r="C994" t="s">
        <v>16</v>
      </c>
      <c r="D994" s="3">
        <v>44271</v>
      </c>
      <c r="E994" s="1">
        <v>44271.554027777776</v>
      </c>
      <c r="F994" t="s">
        <v>17</v>
      </c>
      <c r="G994" t="s">
        <v>37</v>
      </c>
      <c r="H994" s="1">
        <v>44271.53125</v>
      </c>
      <c r="I994" s="1">
        <v>44271.635416666664</v>
      </c>
      <c r="J994" s="4">
        <f t="shared" si="15"/>
        <v>0.10416666666424135</v>
      </c>
      <c r="K994" t="s">
        <v>192</v>
      </c>
      <c r="M994">
        <v>7</v>
      </c>
      <c r="N994" s="6">
        <v>0</v>
      </c>
      <c r="Q994" s="2" t="s">
        <v>19</v>
      </c>
    </row>
    <row r="995" spans="1:17" ht="68" x14ac:dyDescent="0.2">
      <c r="A995" t="s">
        <v>189</v>
      </c>
      <c r="B995" t="s">
        <v>133</v>
      </c>
      <c r="C995" t="s">
        <v>16</v>
      </c>
      <c r="D995" s="3">
        <v>44272</v>
      </c>
      <c r="E995" s="1">
        <v>44272.476180555554</v>
      </c>
      <c r="F995" t="s">
        <v>17</v>
      </c>
      <c r="G995" t="s">
        <v>38</v>
      </c>
      <c r="H995" s="1">
        <v>44272.354166666664</v>
      </c>
      <c r="I995" s="1">
        <v>44272.479166666664</v>
      </c>
      <c r="J995" s="4">
        <f t="shared" si="15"/>
        <v>0.125</v>
      </c>
      <c r="K995" t="s">
        <v>190</v>
      </c>
      <c r="M995">
        <v>2</v>
      </c>
      <c r="N995" s="6">
        <v>0</v>
      </c>
      <c r="Q995" s="2" t="s">
        <v>19</v>
      </c>
    </row>
    <row r="996" spans="1:17" ht="68" x14ac:dyDescent="0.2">
      <c r="A996" t="s">
        <v>189</v>
      </c>
      <c r="B996" t="s">
        <v>133</v>
      </c>
      <c r="C996" t="s">
        <v>16</v>
      </c>
      <c r="D996" s="3">
        <v>44273</v>
      </c>
      <c r="E996" s="1">
        <v>44273.472511574073</v>
      </c>
      <c r="F996" t="s">
        <v>17</v>
      </c>
      <c r="G996" t="s">
        <v>39</v>
      </c>
      <c r="H996" s="1">
        <v>44273.375</v>
      </c>
      <c r="I996" s="1">
        <v>44273.489583333336</v>
      </c>
      <c r="J996" s="4">
        <f t="shared" si="15"/>
        <v>0.11458333333575865</v>
      </c>
      <c r="K996" t="s">
        <v>192</v>
      </c>
      <c r="M996">
        <v>1</v>
      </c>
      <c r="N996" s="6">
        <v>0</v>
      </c>
      <c r="Q996" s="2" t="s">
        <v>19</v>
      </c>
    </row>
    <row r="997" spans="1:17" ht="68" x14ac:dyDescent="0.2">
      <c r="A997" t="s">
        <v>189</v>
      </c>
      <c r="B997" t="s">
        <v>133</v>
      </c>
      <c r="C997" t="s">
        <v>16</v>
      </c>
      <c r="D997" s="3">
        <v>44273</v>
      </c>
      <c r="E997" s="1">
        <v>44273.557881944442</v>
      </c>
      <c r="F997" t="s">
        <v>17</v>
      </c>
      <c r="G997" t="s">
        <v>40</v>
      </c>
      <c r="H997" s="1">
        <v>44273.53125</v>
      </c>
      <c r="I997" s="1">
        <v>44273.666666666664</v>
      </c>
      <c r="J997" s="4">
        <f t="shared" si="15"/>
        <v>0.13541666666424135</v>
      </c>
      <c r="K997" t="s">
        <v>192</v>
      </c>
      <c r="M997">
        <v>8</v>
      </c>
      <c r="N997" s="6">
        <v>0</v>
      </c>
      <c r="Q997" s="2" t="s">
        <v>19</v>
      </c>
    </row>
    <row r="998" spans="1:17" ht="68" x14ac:dyDescent="0.2">
      <c r="A998" t="s">
        <v>189</v>
      </c>
      <c r="B998" t="s">
        <v>133</v>
      </c>
      <c r="C998" t="s">
        <v>16</v>
      </c>
      <c r="D998" s="3">
        <v>44279</v>
      </c>
      <c r="E998" s="1">
        <v>44279.473796296297</v>
      </c>
      <c r="F998" t="s">
        <v>17</v>
      </c>
      <c r="G998" t="s">
        <v>41</v>
      </c>
      <c r="H998" s="1">
        <v>44279.354166666664</v>
      </c>
      <c r="I998" s="1">
        <v>44279.479166666664</v>
      </c>
      <c r="J998" s="4">
        <f t="shared" si="15"/>
        <v>0.125</v>
      </c>
      <c r="K998" t="s">
        <v>190</v>
      </c>
      <c r="M998">
        <v>5</v>
      </c>
      <c r="N998" s="6">
        <v>0</v>
      </c>
      <c r="Q998" s="2" t="s">
        <v>19</v>
      </c>
    </row>
    <row r="999" spans="1:17" ht="68" x14ac:dyDescent="0.2">
      <c r="A999" t="s">
        <v>189</v>
      </c>
      <c r="B999" t="s">
        <v>133</v>
      </c>
      <c r="C999" t="s">
        <v>16</v>
      </c>
      <c r="D999" s="3">
        <v>44281</v>
      </c>
      <c r="E999" s="1">
        <v>44281.475624999999</v>
      </c>
      <c r="F999" t="s">
        <v>17</v>
      </c>
      <c r="G999" t="s">
        <v>38</v>
      </c>
      <c r="H999" s="1">
        <v>44281.354166666664</v>
      </c>
      <c r="I999" s="1">
        <v>44281.479166666664</v>
      </c>
      <c r="J999" s="4">
        <f t="shared" si="15"/>
        <v>0.125</v>
      </c>
      <c r="K999" t="s">
        <v>190</v>
      </c>
      <c r="M999">
        <v>2</v>
      </c>
      <c r="N999" s="6">
        <v>0</v>
      </c>
      <c r="Q999" s="2" t="s">
        <v>19</v>
      </c>
    </row>
    <row r="1000" spans="1:17" ht="68" x14ac:dyDescent="0.2">
      <c r="A1000" t="s">
        <v>189</v>
      </c>
      <c r="B1000" t="s">
        <v>133</v>
      </c>
      <c r="C1000" t="s">
        <v>16</v>
      </c>
      <c r="D1000" s="3">
        <v>44284</v>
      </c>
      <c r="E1000" s="1">
        <v>44284.47278935185</v>
      </c>
      <c r="F1000" t="s">
        <v>17</v>
      </c>
      <c r="G1000" t="s">
        <v>38</v>
      </c>
      <c r="H1000" s="1">
        <v>44284.354166666664</v>
      </c>
      <c r="I1000" s="1">
        <v>44284.479166666664</v>
      </c>
      <c r="J1000" s="4">
        <f t="shared" si="15"/>
        <v>0.125</v>
      </c>
      <c r="K1000" t="s">
        <v>190</v>
      </c>
      <c r="M1000">
        <v>4</v>
      </c>
      <c r="N1000" s="6">
        <v>0</v>
      </c>
      <c r="Q1000" s="2" t="s">
        <v>19</v>
      </c>
    </row>
    <row r="1001" spans="1:17" ht="68" x14ac:dyDescent="0.2">
      <c r="A1001" t="s">
        <v>189</v>
      </c>
      <c r="B1001" t="s">
        <v>133</v>
      </c>
      <c r="C1001" t="s">
        <v>16</v>
      </c>
      <c r="D1001" s="3">
        <v>44285</v>
      </c>
      <c r="E1001" s="1">
        <v>44285.494467592594</v>
      </c>
      <c r="F1001" t="s">
        <v>17</v>
      </c>
      <c r="G1001" t="s">
        <v>29</v>
      </c>
      <c r="H1001" s="1">
        <v>44285.375</v>
      </c>
      <c r="I1001" s="1">
        <v>44285.489583333336</v>
      </c>
      <c r="J1001" s="4">
        <f t="shared" si="15"/>
        <v>0.11458333333575865</v>
      </c>
      <c r="K1001" t="s">
        <v>192</v>
      </c>
      <c r="M1001">
        <v>0</v>
      </c>
      <c r="N1001" s="6">
        <v>0</v>
      </c>
      <c r="Q1001" s="2" t="s">
        <v>19</v>
      </c>
    </row>
    <row r="1002" spans="1:17" ht="68" x14ac:dyDescent="0.2">
      <c r="A1002" t="s">
        <v>189</v>
      </c>
      <c r="B1002" t="s">
        <v>133</v>
      </c>
      <c r="C1002" t="s">
        <v>16</v>
      </c>
      <c r="D1002" s="3">
        <v>44285</v>
      </c>
      <c r="E1002" s="1">
        <v>44285.537083333336</v>
      </c>
      <c r="F1002" t="s">
        <v>17</v>
      </c>
      <c r="G1002" t="s">
        <v>42</v>
      </c>
      <c r="H1002" s="1">
        <v>44285.53125</v>
      </c>
      <c r="I1002" s="1">
        <v>44285.666666666664</v>
      </c>
      <c r="J1002" s="4">
        <f t="shared" si="15"/>
        <v>0.13541666666424135</v>
      </c>
      <c r="K1002" t="s">
        <v>192</v>
      </c>
      <c r="M1002">
        <v>11</v>
      </c>
      <c r="N1002" s="6">
        <v>0</v>
      </c>
      <c r="Q1002" s="2" t="s">
        <v>19</v>
      </c>
    </row>
    <row r="1003" spans="1:17" ht="68" x14ac:dyDescent="0.2">
      <c r="A1003" t="s">
        <v>189</v>
      </c>
      <c r="B1003" t="s">
        <v>133</v>
      </c>
      <c r="C1003" t="s">
        <v>16</v>
      </c>
      <c r="D1003" s="3">
        <v>44286</v>
      </c>
      <c r="E1003" s="1">
        <v>44286.472037037034</v>
      </c>
      <c r="F1003" t="s">
        <v>17</v>
      </c>
      <c r="G1003" t="s">
        <v>31</v>
      </c>
      <c r="H1003" s="1">
        <v>44286.354166666664</v>
      </c>
      <c r="I1003" s="1">
        <v>44286.479166666664</v>
      </c>
      <c r="J1003" s="4">
        <f t="shared" si="15"/>
        <v>0.125</v>
      </c>
      <c r="K1003" t="s">
        <v>190</v>
      </c>
      <c r="M1003">
        <v>4</v>
      </c>
      <c r="N1003" s="6">
        <v>0</v>
      </c>
      <c r="Q1003" s="2" t="s">
        <v>19</v>
      </c>
    </row>
    <row r="1004" spans="1:17" ht="68" x14ac:dyDescent="0.2">
      <c r="A1004" t="s">
        <v>189</v>
      </c>
      <c r="B1004" t="s">
        <v>133</v>
      </c>
      <c r="C1004" t="s">
        <v>16</v>
      </c>
      <c r="D1004" s="3">
        <v>44287</v>
      </c>
      <c r="E1004" s="1">
        <v>44287.455127314817</v>
      </c>
      <c r="F1004" t="s">
        <v>17</v>
      </c>
      <c r="G1004" t="s">
        <v>43</v>
      </c>
      <c r="H1004" s="1">
        <v>44287.375</v>
      </c>
      <c r="I1004" s="1">
        <v>44287.489583333336</v>
      </c>
      <c r="J1004" s="4">
        <f t="shared" si="15"/>
        <v>0.11458333333575865</v>
      </c>
      <c r="K1004" t="s">
        <v>192</v>
      </c>
      <c r="M1004">
        <v>3</v>
      </c>
      <c r="N1004" s="6">
        <v>0</v>
      </c>
      <c r="Q1004" s="2" t="s">
        <v>19</v>
      </c>
    </row>
    <row r="1005" spans="1:17" ht="68" x14ac:dyDescent="0.2">
      <c r="A1005" t="s">
        <v>189</v>
      </c>
      <c r="B1005" t="s">
        <v>133</v>
      </c>
      <c r="C1005" t="s">
        <v>16</v>
      </c>
      <c r="D1005" s="3">
        <v>44287</v>
      </c>
      <c r="E1005" s="1">
        <v>44287.555543981478</v>
      </c>
      <c r="F1005" t="s">
        <v>17</v>
      </c>
      <c r="G1005" t="s">
        <v>37</v>
      </c>
      <c r="H1005" s="1">
        <v>44287.53125</v>
      </c>
      <c r="I1005" s="1">
        <v>44287.666666666664</v>
      </c>
      <c r="J1005" s="4">
        <f t="shared" si="15"/>
        <v>0.13541666666424135</v>
      </c>
      <c r="K1005" t="s">
        <v>192</v>
      </c>
      <c r="M1005">
        <v>5</v>
      </c>
      <c r="N1005" s="6">
        <v>0</v>
      </c>
      <c r="Q1005" s="2" t="s">
        <v>19</v>
      </c>
    </row>
    <row r="1006" spans="1:17" ht="68" x14ac:dyDescent="0.2">
      <c r="A1006" t="s">
        <v>189</v>
      </c>
      <c r="B1006" t="s">
        <v>133</v>
      </c>
      <c r="C1006" t="s">
        <v>16</v>
      </c>
      <c r="D1006" s="3">
        <v>44288</v>
      </c>
      <c r="E1006" s="1">
        <v>44288.474409722221</v>
      </c>
      <c r="F1006" t="s">
        <v>17</v>
      </c>
      <c r="G1006" t="s">
        <v>38</v>
      </c>
      <c r="H1006" s="1">
        <v>44288.354166666664</v>
      </c>
      <c r="I1006" s="1">
        <v>44288.479166666664</v>
      </c>
      <c r="J1006" s="4">
        <f t="shared" si="15"/>
        <v>0.125</v>
      </c>
      <c r="K1006" t="s">
        <v>190</v>
      </c>
      <c r="M1006">
        <v>11</v>
      </c>
      <c r="N1006" s="6">
        <v>0</v>
      </c>
      <c r="Q1006" s="2" t="s">
        <v>19</v>
      </c>
    </row>
    <row r="1007" spans="1:17" ht="68" x14ac:dyDescent="0.2">
      <c r="A1007" t="s">
        <v>189</v>
      </c>
      <c r="B1007" t="s">
        <v>133</v>
      </c>
      <c r="C1007" t="s">
        <v>16</v>
      </c>
      <c r="D1007" s="3">
        <v>44288</v>
      </c>
      <c r="E1007" s="1">
        <v>44288.474490740744</v>
      </c>
      <c r="F1007" t="s">
        <v>17</v>
      </c>
      <c r="G1007" t="s">
        <v>38</v>
      </c>
      <c r="H1007" s="1">
        <v>44288.354166666664</v>
      </c>
      <c r="I1007" s="1">
        <v>44288.479166666664</v>
      </c>
      <c r="J1007" s="4">
        <f t="shared" si="15"/>
        <v>0.125</v>
      </c>
      <c r="K1007" t="s">
        <v>190</v>
      </c>
      <c r="M1007">
        <v>0</v>
      </c>
      <c r="N1007" s="5" t="s">
        <v>144</v>
      </c>
      <c r="Q1007" s="2" t="s">
        <v>19</v>
      </c>
    </row>
    <row r="1008" spans="1:17" ht="68" x14ac:dyDescent="0.2">
      <c r="A1008" t="s">
        <v>189</v>
      </c>
      <c r="B1008" t="s">
        <v>133</v>
      </c>
      <c r="C1008" t="s">
        <v>16</v>
      </c>
      <c r="D1008" s="3">
        <v>44291</v>
      </c>
      <c r="E1008" s="1">
        <v>44291.465497685182</v>
      </c>
      <c r="F1008" t="s">
        <v>17</v>
      </c>
      <c r="G1008" t="s">
        <v>38</v>
      </c>
      <c r="H1008" s="1">
        <v>44291.354166666664</v>
      </c>
      <c r="I1008" s="1">
        <v>44291.479166666664</v>
      </c>
      <c r="J1008" s="4">
        <f t="shared" si="15"/>
        <v>0.125</v>
      </c>
      <c r="K1008" t="s">
        <v>190</v>
      </c>
      <c r="M1008">
        <v>4</v>
      </c>
      <c r="N1008" s="6">
        <v>0</v>
      </c>
      <c r="Q1008" s="2" t="s">
        <v>19</v>
      </c>
    </row>
    <row r="1009" spans="1:17" ht="68" x14ac:dyDescent="0.2">
      <c r="A1009" t="s">
        <v>189</v>
      </c>
      <c r="B1009" t="s">
        <v>133</v>
      </c>
      <c r="C1009" t="s">
        <v>16</v>
      </c>
      <c r="D1009" s="3">
        <v>44292</v>
      </c>
      <c r="E1009" s="1">
        <v>44292.401944444442</v>
      </c>
      <c r="F1009" t="s">
        <v>17</v>
      </c>
      <c r="G1009" t="s">
        <v>44</v>
      </c>
      <c r="H1009" s="1">
        <v>44292.375</v>
      </c>
      <c r="I1009" s="1">
        <v>44292.489583333336</v>
      </c>
      <c r="J1009" s="4">
        <f t="shared" si="15"/>
        <v>0.11458333333575865</v>
      </c>
      <c r="K1009" t="s">
        <v>192</v>
      </c>
      <c r="M1009">
        <v>1</v>
      </c>
      <c r="N1009" s="6">
        <v>0</v>
      </c>
      <c r="Q1009" s="2" t="s">
        <v>19</v>
      </c>
    </row>
    <row r="1010" spans="1:17" ht="68" x14ac:dyDescent="0.2">
      <c r="A1010" t="s">
        <v>189</v>
      </c>
      <c r="B1010" t="s">
        <v>133</v>
      </c>
      <c r="C1010" t="s">
        <v>16</v>
      </c>
      <c r="D1010" s="3">
        <v>44292</v>
      </c>
      <c r="E1010" s="1">
        <v>44292.670949074076</v>
      </c>
      <c r="F1010" t="s">
        <v>17</v>
      </c>
      <c r="G1010" t="s">
        <v>45</v>
      </c>
      <c r="H1010" s="1">
        <v>44292.53125</v>
      </c>
      <c r="I1010" s="1">
        <v>44292.666666666664</v>
      </c>
      <c r="J1010" s="4">
        <f t="shared" si="15"/>
        <v>0.13541666666424135</v>
      </c>
      <c r="K1010" t="s">
        <v>193</v>
      </c>
      <c r="M1010">
        <v>19</v>
      </c>
      <c r="N1010" s="6">
        <v>0</v>
      </c>
      <c r="Q1010" s="2" t="s">
        <v>19</v>
      </c>
    </row>
    <row r="1011" spans="1:17" ht="68" x14ac:dyDescent="0.2">
      <c r="A1011" t="s">
        <v>189</v>
      </c>
      <c r="B1011" t="s">
        <v>133</v>
      </c>
      <c r="C1011" t="s">
        <v>16</v>
      </c>
      <c r="D1011" s="3">
        <v>44293</v>
      </c>
      <c r="E1011" s="1">
        <v>44293.3671412037</v>
      </c>
      <c r="F1011" t="s">
        <v>17</v>
      </c>
      <c r="G1011" t="s">
        <v>18</v>
      </c>
      <c r="H1011" s="1">
        <v>44293.354166666664</v>
      </c>
      <c r="I1011" s="1">
        <v>44293.479166666664</v>
      </c>
      <c r="J1011" s="4">
        <f t="shared" si="15"/>
        <v>0.125</v>
      </c>
      <c r="K1011" t="s">
        <v>190</v>
      </c>
      <c r="M1011">
        <v>4</v>
      </c>
      <c r="N1011" s="6">
        <v>0</v>
      </c>
      <c r="Q1011" s="2" t="s">
        <v>19</v>
      </c>
    </row>
    <row r="1012" spans="1:17" ht="68" x14ac:dyDescent="0.2">
      <c r="A1012" t="s">
        <v>189</v>
      </c>
      <c r="B1012" t="s">
        <v>133</v>
      </c>
      <c r="C1012" t="s">
        <v>16</v>
      </c>
      <c r="D1012" s="3">
        <v>44293</v>
      </c>
      <c r="E1012" s="1">
        <v>44293.459351851852</v>
      </c>
      <c r="F1012" t="s">
        <v>17</v>
      </c>
      <c r="G1012" t="s">
        <v>18</v>
      </c>
      <c r="H1012" s="1">
        <v>44293.354166666664</v>
      </c>
      <c r="I1012" s="1">
        <v>44293.479166666664</v>
      </c>
      <c r="J1012" s="4">
        <f t="shared" si="15"/>
        <v>0.125</v>
      </c>
      <c r="K1012" t="s">
        <v>190</v>
      </c>
      <c r="M1012">
        <v>2</v>
      </c>
      <c r="N1012" s="6">
        <v>0</v>
      </c>
      <c r="Q1012" s="2" t="s">
        <v>19</v>
      </c>
    </row>
    <row r="1013" spans="1:17" ht="68" x14ac:dyDescent="0.2">
      <c r="A1013" t="s">
        <v>189</v>
      </c>
      <c r="B1013" t="s">
        <v>133</v>
      </c>
      <c r="C1013" t="s">
        <v>16</v>
      </c>
      <c r="D1013" s="3">
        <v>44293</v>
      </c>
      <c r="E1013" s="1">
        <v>44293.466365740744</v>
      </c>
      <c r="F1013" t="s">
        <v>17</v>
      </c>
      <c r="G1013" t="s">
        <v>18</v>
      </c>
      <c r="H1013" s="1">
        <v>44293.354166666664</v>
      </c>
      <c r="I1013" s="1">
        <v>44293.479166666664</v>
      </c>
      <c r="J1013" s="4">
        <f t="shared" si="15"/>
        <v>0.125</v>
      </c>
      <c r="K1013" t="s">
        <v>190</v>
      </c>
      <c r="M1013">
        <v>2</v>
      </c>
      <c r="N1013" s="6">
        <v>0</v>
      </c>
      <c r="Q1013" s="2" t="s">
        <v>19</v>
      </c>
    </row>
    <row r="1014" spans="1:17" ht="68" x14ac:dyDescent="0.2">
      <c r="A1014" t="s">
        <v>189</v>
      </c>
      <c r="B1014" t="s">
        <v>133</v>
      </c>
      <c r="C1014" t="s">
        <v>16</v>
      </c>
      <c r="D1014" s="3">
        <v>44294</v>
      </c>
      <c r="E1014" s="1">
        <v>44294.48715277778</v>
      </c>
      <c r="F1014" t="s">
        <v>17</v>
      </c>
      <c r="G1014" t="s">
        <v>46</v>
      </c>
      <c r="H1014" s="1">
        <v>44294.375</v>
      </c>
      <c r="I1014" s="1">
        <v>44294.489583333336</v>
      </c>
      <c r="J1014" s="4">
        <f t="shared" si="15"/>
        <v>0.11458333333575865</v>
      </c>
      <c r="K1014" t="s">
        <v>194</v>
      </c>
      <c r="M1014">
        <v>13</v>
      </c>
      <c r="N1014" s="6">
        <v>0</v>
      </c>
      <c r="Q1014" s="2" t="s">
        <v>19</v>
      </c>
    </row>
    <row r="1015" spans="1:17" ht="68" x14ac:dyDescent="0.2">
      <c r="A1015" t="s">
        <v>189</v>
      </c>
      <c r="B1015" t="s">
        <v>133</v>
      </c>
      <c r="C1015" t="s">
        <v>16</v>
      </c>
      <c r="D1015" s="3">
        <v>44294</v>
      </c>
      <c r="E1015" s="1">
        <v>44294.538842592592</v>
      </c>
      <c r="F1015" t="s">
        <v>17</v>
      </c>
      <c r="G1015" t="s">
        <v>42</v>
      </c>
      <c r="H1015" s="1">
        <v>44294.53125</v>
      </c>
      <c r="I1015" s="1">
        <v>44294.666666666664</v>
      </c>
      <c r="J1015" s="4">
        <f t="shared" si="15"/>
        <v>0.13541666666424135</v>
      </c>
      <c r="K1015" t="s">
        <v>192</v>
      </c>
      <c r="M1015">
        <v>4</v>
      </c>
      <c r="N1015" s="6">
        <v>0</v>
      </c>
      <c r="Q1015" s="2" t="s">
        <v>19</v>
      </c>
    </row>
    <row r="1016" spans="1:17" ht="68" x14ac:dyDescent="0.2">
      <c r="A1016" t="s">
        <v>189</v>
      </c>
      <c r="B1016" t="s">
        <v>133</v>
      </c>
      <c r="C1016" t="s">
        <v>16</v>
      </c>
      <c r="D1016" s="3">
        <v>44294</v>
      </c>
      <c r="E1016" s="1">
        <v>44294.647106481483</v>
      </c>
      <c r="F1016" t="s">
        <v>17</v>
      </c>
      <c r="G1016" t="s">
        <v>42</v>
      </c>
      <c r="H1016" s="1">
        <v>44294.53125</v>
      </c>
      <c r="I1016" s="1">
        <v>44294.666666666664</v>
      </c>
      <c r="J1016" s="4">
        <f t="shared" si="15"/>
        <v>0.13541666666424135</v>
      </c>
      <c r="K1016" t="s">
        <v>192</v>
      </c>
      <c r="M1016">
        <v>2</v>
      </c>
      <c r="N1016" s="6">
        <v>0</v>
      </c>
      <c r="Q1016" s="2" t="s">
        <v>19</v>
      </c>
    </row>
    <row r="1017" spans="1:17" ht="68" x14ac:dyDescent="0.2">
      <c r="A1017" t="s">
        <v>189</v>
      </c>
      <c r="B1017" t="s">
        <v>133</v>
      </c>
      <c r="C1017" t="s">
        <v>16</v>
      </c>
      <c r="D1017" s="3">
        <v>44294</v>
      </c>
      <c r="E1017" s="1">
        <v>44294.669583333336</v>
      </c>
      <c r="F1017" t="s">
        <v>17</v>
      </c>
      <c r="G1017" t="s">
        <v>42</v>
      </c>
      <c r="H1017" s="1">
        <v>44294.53125</v>
      </c>
      <c r="I1017" s="1">
        <v>44294.666666666664</v>
      </c>
      <c r="J1017" s="4">
        <f t="shared" si="15"/>
        <v>0.13541666666424135</v>
      </c>
      <c r="K1017" t="s">
        <v>192</v>
      </c>
      <c r="M1017">
        <v>0</v>
      </c>
      <c r="N1017" s="6">
        <v>0</v>
      </c>
      <c r="Q1017" s="2" t="s">
        <v>19</v>
      </c>
    </row>
    <row r="1018" spans="1:17" ht="68" x14ac:dyDescent="0.2">
      <c r="A1018" t="s">
        <v>189</v>
      </c>
      <c r="B1018" t="s">
        <v>133</v>
      </c>
      <c r="C1018" t="s">
        <v>16</v>
      </c>
      <c r="D1018" s="3">
        <v>44295</v>
      </c>
      <c r="E1018" s="1">
        <v>44295.368206018517</v>
      </c>
      <c r="F1018" t="s">
        <v>17</v>
      </c>
      <c r="G1018" t="s">
        <v>31</v>
      </c>
      <c r="H1018" s="1">
        <v>44295.354166666664</v>
      </c>
      <c r="I1018" s="1">
        <v>44295.479166666664</v>
      </c>
      <c r="J1018" s="4">
        <f t="shared" si="15"/>
        <v>0.125</v>
      </c>
      <c r="K1018" t="s">
        <v>190</v>
      </c>
      <c r="M1018">
        <v>3</v>
      </c>
      <c r="N1018" s="6">
        <v>0</v>
      </c>
      <c r="Q1018" s="2" t="s">
        <v>19</v>
      </c>
    </row>
    <row r="1019" spans="1:17" ht="68" x14ac:dyDescent="0.2">
      <c r="A1019" t="s">
        <v>189</v>
      </c>
      <c r="B1019" t="s">
        <v>133</v>
      </c>
      <c r="C1019" t="s">
        <v>16</v>
      </c>
      <c r="D1019" s="3">
        <v>44298</v>
      </c>
      <c r="E1019" s="1">
        <v>44298.557696759257</v>
      </c>
      <c r="F1019" t="s">
        <v>17</v>
      </c>
      <c r="G1019" t="s">
        <v>45</v>
      </c>
      <c r="H1019" s="1">
        <v>44298.53125</v>
      </c>
      <c r="I1019" s="1">
        <v>44298.666666666664</v>
      </c>
      <c r="J1019" s="4">
        <f t="shared" si="15"/>
        <v>0.13541666666424135</v>
      </c>
      <c r="K1019" t="s">
        <v>195</v>
      </c>
      <c r="M1019">
        <v>2</v>
      </c>
      <c r="N1019" s="6">
        <v>0</v>
      </c>
      <c r="Q1019" s="2" t="s">
        <v>19</v>
      </c>
    </row>
    <row r="1020" spans="1:17" ht="68" x14ac:dyDescent="0.2">
      <c r="A1020" t="s">
        <v>189</v>
      </c>
      <c r="B1020" t="s">
        <v>133</v>
      </c>
      <c r="C1020" t="s">
        <v>16</v>
      </c>
      <c r="D1020" s="3">
        <v>44298</v>
      </c>
      <c r="E1020" s="1">
        <v>44298.668310185189</v>
      </c>
      <c r="F1020" t="s">
        <v>17</v>
      </c>
      <c r="G1020" t="s">
        <v>45</v>
      </c>
      <c r="H1020" s="1">
        <v>44298.53125</v>
      </c>
      <c r="I1020" s="1">
        <v>44298.666666666664</v>
      </c>
      <c r="J1020" s="4">
        <f t="shared" si="15"/>
        <v>0.13541666666424135</v>
      </c>
      <c r="K1020" t="s">
        <v>195</v>
      </c>
      <c r="M1020">
        <v>14</v>
      </c>
      <c r="N1020" s="6">
        <v>0</v>
      </c>
      <c r="Q1020" s="2" t="s">
        <v>19</v>
      </c>
    </row>
    <row r="1021" spans="1:17" ht="68" x14ac:dyDescent="0.2">
      <c r="A1021" t="s">
        <v>189</v>
      </c>
      <c r="B1021" t="s">
        <v>133</v>
      </c>
      <c r="C1021" t="s">
        <v>16</v>
      </c>
      <c r="D1021" s="3">
        <v>44299</v>
      </c>
      <c r="E1021" s="1">
        <v>44299.414525462962</v>
      </c>
      <c r="F1021" t="s">
        <v>17</v>
      </c>
      <c r="G1021" t="s">
        <v>47</v>
      </c>
      <c r="H1021" s="1">
        <v>44299.375</v>
      </c>
      <c r="I1021" s="1">
        <v>44299.510416666664</v>
      </c>
      <c r="J1021" s="4">
        <f t="shared" si="15"/>
        <v>0.13541666666424135</v>
      </c>
      <c r="K1021" t="s">
        <v>192</v>
      </c>
      <c r="M1021">
        <v>1</v>
      </c>
      <c r="N1021" s="6">
        <v>0</v>
      </c>
      <c r="Q1021" s="2" t="s">
        <v>19</v>
      </c>
    </row>
    <row r="1022" spans="1:17" ht="68" x14ac:dyDescent="0.2">
      <c r="A1022" t="s">
        <v>189</v>
      </c>
      <c r="B1022" t="s">
        <v>133</v>
      </c>
      <c r="C1022" t="s">
        <v>16</v>
      </c>
      <c r="D1022" s="3">
        <v>44299</v>
      </c>
      <c r="E1022" s="1">
        <v>44299.594467592593</v>
      </c>
      <c r="F1022" t="s">
        <v>17</v>
      </c>
      <c r="G1022" t="s">
        <v>48</v>
      </c>
      <c r="H1022" s="1">
        <v>44299.53125</v>
      </c>
      <c r="I1022" s="1">
        <v>44299.635416666664</v>
      </c>
      <c r="J1022" s="4">
        <f t="shared" si="15"/>
        <v>0.10416666666424135</v>
      </c>
      <c r="K1022" t="s">
        <v>192</v>
      </c>
      <c r="M1022">
        <v>7</v>
      </c>
      <c r="N1022" s="6">
        <v>0</v>
      </c>
      <c r="Q1022" s="2" t="s">
        <v>19</v>
      </c>
    </row>
    <row r="1023" spans="1:17" ht="68" x14ac:dyDescent="0.2">
      <c r="A1023" t="s">
        <v>189</v>
      </c>
      <c r="B1023" t="s">
        <v>133</v>
      </c>
      <c r="C1023" t="s">
        <v>16</v>
      </c>
      <c r="D1023" s="3">
        <v>44299</v>
      </c>
      <c r="E1023" s="1">
        <v>44299.66747685185</v>
      </c>
      <c r="F1023" t="s">
        <v>17</v>
      </c>
      <c r="G1023" t="s">
        <v>49</v>
      </c>
      <c r="H1023" s="1">
        <v>44299.63958333333</v>
      </c>
      <c r="I1023" s="1">
        <v>44299.666666666664</v>
      </c>
      <c r="J1023" s="4">
        <f t="shared" si="15"/>
        <v>2.7083333334303461E-2</v>
      </c>
      <c r="K1023" t="s">
        <v>196</v>
      </c>
      <c r="M1023">
        <v>0</v>
      </c>
      <c r="N1023" s="6">
        <v>0</v>
      </c>
      <c r="Q1023" s="2" t="s">
        <v>19</v>
      </c>
    </row>
    <row r="1024" spans="1:17" ht="68" x14ac:dyDescent="0.2">
      <c r="A1024" t="s">
        <v>189</v>
      </c>
      <c r="B1024" t="s">
        <v>133</v>
      </c>
      <c r="C1024" t="s">
        <v>16</v>
      </c>
      <c r="D1024" s="3">
        <v>44300</v>
      </c>
      <c r="E1024" s="1">
        <v>44300.490578703706</v>
      </c>
      <c r="F1024" t="s">
        <v>17</v>
      </c>
      <c r="G1024" t="s">
        <v>50</v>
      </c>
      <c r="H1024" s="1">
        <v>44300.375</v>
      </c>
      <c r="I1024" s="1">
        <v>44300.489583333336</v>
      </c>
      <c r="J1024" s="4">
        <f t="shared" si="15"/>
        <v>0.11458333333575865</v>
      </c>
      <c r="K1024" t="s">
        <v>197</v>
      </c>
      <c r="M1024">
        <v>2</v>
      </c>
      <c r="N1024" s="6">
        <v>0</v>
      </c>
      <c r="Q1024" s="2" t="s">
        <v>19</v>
      </c>
    </row>
    <row r="1025" spans="1:17" ht="68" x14ac:dyDescent="0.2">
      <c r="A1025" t="s">
        <v>189</v>
      </c>
      <c r="B1025" t="s">
        <v>133</v>
      </c>
      <c r="C1025" t="s">
        <v>16</v>
      </c>
      <c r="D1025" s="3">
        <v>44300</v>
      </c>
      <c r="E1025" s="1">
        <v>44300.559224537035</v>
      </c>
      <c r="F1025" t="s">
        <v>17</v>
      </c>
      <c r="G1025" t="s">
        <v>51</v>
      </c>
      <c r="H1025" s="1">
        <v>44300.552083333336</v>
      </c>
      <c r="I1025" s="1">
        <v>44300.666666666664</v>
      </c>
      <c r="J1025" s="4">
        <f t="shared" si="15"/>
        <v>0.11458333332848269</v>
      </c>
      <c r="K1025" t="s">
        <v>198</v>
      </c>
      <c r="M1025">
        <v>10</v>
      </c>
      <c r="N1025" s="6">
        <v>0</v>
      </c>
      <c r="Q1025" s="2" t="s">
        <v>19</v>
      </c>
    </row>
    <row r="1026" spans="1:17" ht="68" x14ac:dyDescent="0.2">
      <c r="A1026" t="s">
        <v>189</v>
      </c>
      <c r="B1026" t="s">
        <v>133</v>
      </c>
      <c r="C1026" t="s">
        <v>16</v>
      </c>
      <c r="D1026" s="3">
        <v>44301</v>
      </c>
      <c r="E1026" s="1">
        <v>44301.408831018518</v>
      </c>
      <c r="F1026" t="s">
        <v>17</v>
      </c>
      <c r="G1026" t="s">
        <v>52</v>
      </c>
      <c r="H1026" s="1">
        <v>44301.375</v>
      </c>
      <c r="I1026" s="1">
        <v>44301.510416666664</v>
      </c>
      <c r="J1026" s="4">
        <f t="shared" si="15"/>
        <v>0.13541666666424135</v>
      </c>
      <c r="K1026" t="s">
        <v>192</v>
      </c>
      <c r="M1026">
        <v>1</v>
      </c>
      <c r="N1026" s="6">
        <v>0</v>
      </c>
      <c r="Q1026" s="2" t="s">
        <v>19</v>
      </c>
    </row>
    <row r="1027" spans="1:17" ht="68" x14ac:dyDescent="0.2">
      <c r="A1027" t="s">
        <v>189</v>
      </c>
      <c r="B1027" t="s">
        <v>133</v>
      </c>
      <c r="C1027" t="s">
        <v>16</v>
      </c>
      <c r="D1027" s="3">
        <v>44301</v>
      </c>
      <c r="E1027" s="1">
        <v>44301.539155092592</v>
      </c>
      <c r="F1027" t="s">
        <v>17</v>
      </c>
      <c r="G1027" t="s">
        <v>37</v>
      </c>
      <c r="H1027" s="1">
        <v>44301.53125</v>
      </c>
      <c r="I1027" s="1">
        <v>44301.666666666664</v>
      </c>
      <c r="J1027" s="4">
        <f t="shared" ref="J1027:J1090" si="16">IF($I1027="","",$I1027-$H1027)</f>
        <v>0.13541666666424135</v>
      </c>
      <c r="K1027" t="s">
        <v>192</v>
      </c>
      <c r="M1027">
        <v>5</v>
      </c>
      <c r="N1027" s="6">
        <v>0</v>
      </c>
      <c r="Q1027" s="2" t="s">
        <v>19</v>
      </c>
    </row>
    <row r="1028" spans="1:17" ht="68" x14ac:dyDescent="0.2">
      <c r="A1028" t="s">
        <v>189</v>
      </c>
      <c r="B1028" t="s">
        <v>133</v>
      </c>
      <c r="C1028" t="s">
        <v>16</v>
      </c>
      <c r="D1028" s="3">
        <v>44302</v>
      </c>
      <c r="E1028" s="1">
        <v>44302.486863425926</v>
      </c>
      <c r="F1028" t="s">
        <v>17</v>
      </c>
      <c r="G1028" t="s">
        <v>53</v>
      </c>
      <c r="H1028" s="1">
        <v>44302.395833333336</v>
      </c>
      <c r="I1028" s="1">
        <v>44302.489583333336</v>
      </c>
      <c r="J1028" s="4">
        <f t="shared" si="16"/>
        <v>9.375E-2</v>
      </c>
      <c r="K1028" t="s">
        <v>199</v>
      </c>
      <c r="M1028">
        <v>0</v>
      </c>
      <c r="N1028" s="6">
        <v>0</v>
      </c>
      <c r="Q1028" s="2" t="s">
        <v>19</v>
      </c>
    </row>
    <row r="1029" spans="1:17" ht="68" x14ac:dyDescent="0.2">
      <c r="A1029" t="s">
        <v>189</v>
      </c>
      <c r="B1029" t="s">
        <v>133</v>
      </c>
      <c r="C1029" t="s">
        <v>16</v>
      </c>
      <c r="D1029" s="3">
        <v>44302</v>
      </c>
      <c r="E1029" s="1">
        <v>44302.546539351853</v>
      </c>
      <c r="F1029" t="s">
        <v>17</v>
      </c>
      <c r="G1029" t="s">
        <v>54</v>
      </c>
      <c r="H1029" s="1">
        <v>44302.53125</v>
      </c>
      <c r="I1029" s="1">
        <v>44302.666666666664</v>
      </c>
      <c r="J1029" s="4">
        <f t="shared" si="16"/>
        <v>0.13541666666424135</v>
      </c>
      <c r="K1029" t="s">
        <v>195</v>
      </c>
      <c r="M1029">
        <v>4</v>
      </c>
      <c r="N1029" s="6">
        <v>0</v>
      </c>
      <c r="Q1029" s="2" t="s">
        <v>19</v>
      </c>
    </row>
    <row r="1030" spans="1:17" ht="68" x14ac:dyDescent="0.2">
      <c r="A1030" t="s">
        <v>189</v>
      </c>
      <c r="B1030" t="s">
        <v>133</v>
      </c>
      <c r="C1030" t="s">
        <v>16</v>
      </c>
      <c r="D1030" s="3">
        <v>44302</v>
      </c>
      <c r="E1030" s="1">
        <v>44302.660370370373</v>
      </c>
      <c r="F1030" t="s">
        <v>17</v>
      </c>
      <c r="G1030" t="s">
        <v>54</v>
      </c>
      <c r="H1030" s="1">
        <v>44302.53125</v>
      </c>
      <c r="I1030" s="1">
        <v>44302.666666666664</v>
      </c>
      <c r="J1030" s="4">
        <f t="shared" si="16"/>
        <v>0.13541666666424135</v>
      </c>
      <c r="K1030" t="s">
        <v>195</v>
      </c>
      <c r="M1030">
        <v>6</v>
      </c>
      <c r="N1030" s="6">
        <v>0</v>
      </c>
      <c r="Q1030" s="2" t="s">
        <v>19</v>
      </c>
    </row>
    <row r="1031" spans="1:17" ht="68" x14ac:dyDescent="0.2">
      <c r="A1031" t="s">
        <v>189</v>
      </c>
      <c r="B1031" t="s">
        <v>133</v>
      </c>
      <c r="C1031" t="s">
        <v>16</v>
      </c>
      <c r="D1031" s="3">
        <v>44307</v>
      </c>
      <c r="E1031" s="1">
        <v>44307.489039351851</v>
      </c>
      <c r="F1031" t="s">
        <v>17</v>
      </c>
      <c r="G1031" t="s">
        <v>36</v>
      </c>
      <c r="H1031" s="1">
        <v>44307.375</v>
      </c>
      <c r="I1031" s="1">
        <v>44307.489583333336</v>
      </c>
      <c r="J1031" s="4">
        <f t="shared" si="16"/>
        <v>0.11458333333575865</v>
      </c>
      <c r="K1031" t="s">
        <v>197</v>
      </c>
      <c r="M1031">
        <v>6</v>
      </c>
      <c r="N1031" s="6">
        <v>0</v>
      </c>
      <c r="Q1031" s="2" t="s">
        <v>19</v>
      </c>
    </row>
    <row r="1032" spans="1:17" ht="68" x14ac:dyDescent="0.2">
      <c r="A1032" t="s">
        <v>189</v>
      </c>
      <c r="B1032" t="s">
        <v>133</v>
      </c>
      <c r="C1032" t="s">
        <v>16</v>
      </c>
      <c r="D1032" s="3">
        <v>44307</v>
      </c>
      <c r="E1032" s="1">
        <v>44307.651273148149</v>
      </c>
      <c r="F1032" t="s">
        <v>17</v>
      </c>
      <c r="G1032" t="s">
        <v>37</v>
      </c>
      <c r="H1032" s="1">
        <v>44307.53125</v>
      </c>
      <c r="I1032" s="1">
        <v>44307.666666666664</v>
      </c>
      <c r="J1032" s="4">
        <f t="shared" si="16"/>
        <v>0.13541666666424135</v>
      </c>
      <c r="K1032" t="s">
        <v>195</v>
      </c>
      <c r="M1032">
        <v>11</v>
      </c>
      <c r="N1032" s="6">
        <v>0</v>
      </c>
      <c r="Q1032" s="2" t="s">
        <v>19</v>
      </c>
    </row>
    <row r="1033" spans="1:17" ht="68" x14ac:dyDescent="0.2">
      <c r="A1033" t="s">
        <v>189</v>
      </c>
      <c r="B1033" t="s">
        <v>133</v>
      </c>
      <c r="C1033" t="s">
        <v>16</v>
      </c>
      <c r="D1033" s="3">
        <v>44308</v>
      </c>
      <c r="E1033" s="1">
        <v>44308.472384259258</v>
      </c>
      <c r="F1033" t="s">
        <v>17</v>
      </c>
      <c r="G1033" t="s">
        <v>55</v>
      </c>
      <c r="H1033" s="1">
        <v>44308.375</v>
      </c>
      <c r="I1033" s="1">
        <v>44308.510416666664</v>
      </c>
      <c r="J1033" s="4">
        <f t="shared" si="16"/>
        <v>0.13541666666424135</v>
      </c>
      <c r="K1033" t="s">
        <v>200</v>
      </c>
      <c r="M1033">
        <v>2</v>
      </c>
      <c r="N1033" s="6">
        <v>0</v>
      </c>
      <c r="Q1033" s="2" t="s">
        <v>19</v>
      </c>
    </row>
    <row r="1034" spans="1:17" ht="68" x14ac:dyDescent="0.2">
      <c r="A1034" t="s">
        <v>189</v>
      </c>
      <c r="B1034" t="s">
        <v>133</v>
      </c>
      <c r="C1034" t="s">
        <v>16</v>
      </c>
      <c r="D1034" s="3">
        <v>44308</v>
      </c>
      <c r="E1034" s="1">
        <v>44308.503923611112</v>
      </c>
      <c r="F1034" t="s">
        <v>17</v>
      </c>
      <c r="G1034" t="s">
        <v>55</v>
      </c>
      <c r="H1034" s="1">
        <v>44308.375</v>
      </c>
      <c r="I1034" s="1">
        <v>44308.510416666664</v>
      </c>
      <c r="J1034" s="4">
        <f t="shared" si="16"/>
        <v>0.13541666666424135</v>
      </c>
      <c r="K1034" t="s">
        <v>200</v>
      </c>
      <c r="M1034">
        <v>4</v>
      </c>
      <c r="N1034" s="6">
        <v>0</v>
      </c>
      <c r="Q1034" s="2" t="s">
        <v>19</v>
      </c>
    </row>
    <row r="1035" spans="1:17" ht="68" x14ac:dyDescent="0.2">
      <c r="A1035" t="s">
        <v>189</v>
      </c>
      <c r="B1035" t="s">
        <v>133</v>
      </c>
      <c r="C1035" t="s">
        <v>16</v>
      </c>
      <c r="D1035" s="3">
        <v>44308</v>
      </c>
      <c r="E1035" s="1">
        <v>44308.565810185188</v>
      </c>
      <c r="F1035" t="s">
        <v>17</v>
      </c>
      <c r="G1035" t="s">
        <v>56</v>
      </c>
      <c r="H1035" s="1">
        <v>44308.541666666664</v>
      </c>
      <c r="I1035" s="1">
        <v>44308.666666666664</v>
      </c>
      <c r="J1035" s="4">
        <f t="shared" si="16"/>
        <v>0.125</v>
      </c>
      <c r="K1035" t="s">
        <v>192</v>
      </c>
      <c r="M1035">
        <v>5</v>
      </c>
      <c r="N1035" s="6">
        <v>0</v>
      </c>
      <c r="Q1035" s="2" t="s">
        <v>19</v>
      </c>
    </row>
    <row r="1036" spans="1:17" ht="68" x14ac:dyDescent="0.2">
      <c r="A1036" t="s">
        <v>189</v>
      </c>
      <c r="B1036" t="s">
        <v>133</v>
      </c>
      <c r="C1036" t="s">
        <v>16</v>
      </c>
      <c r="D1036" s="3">
        <v>44309</v>
      </c>
      <c r="E1036" s="1">
        <v>44309.4925</v>
      </c>
      <c r="F1036" t="s">
        <v>17</v>
      </c>
      <c r="G1036" t="s">
        <v>100</v>
      </c>
      <c r="H1036" s="1">
        <v>44309.375</v>
      </c>
      <c r="I1036" s="1">
        <v>44309.489583333336</v>
      </c>
      <c r="J1036" s="4">
        <f t="shared" si="16"/>
        <v>0.11458333333575865</v>
      </c>
      <c r="K1036" t="s">
        <v>222</v>
      </c>
      <c r="M1036">
        <v>1</v>
      </c>
      <c r="N1036" s="6">
        <v>0</v>
      </c>
      <c r="Q1036" s="2" t="s">
        <v>19</v>
      </c>
    </row>
    <row r="1037" spans="1:17" ht="68" x14ac:dyDescent="0.2">
      <c r="A1037" t="s">
        <v>189</v>
      </c>
      <c r="B1037" t="s">
        <v>133</v>
      </c>
      <c r="C1037" t="s">
        <v>16</v>
      </c>
      <c r="D1037" s="3">
        <v>44309</v>
      </c>
      <c r="E1037" s="1">
        <v>44309.578275462962</v>
      </c>
      <c r="F1037" t="s">
        <v>17</v>
      </c>
      <c r="G1037" t="s">
        <v>42</v>
      </c>
      <c r="H1037" s="1">
        <v>44309.53125</v>
      </c>
      <c r="I1037" s="1">
        <v>44309.666666666664</v>
      </c>
      <c r="J1037" s="4">
        <f t="shared" si="16"/>
        <v>0.13541666666424135</v>
      </c>
      <c r="K1037" t="s">
        <v>207</v>
      </c>
      <c r="M1037">
        <v>2</v>
      </c>
      <c r="N1037" s="6">
        <v>0</v>
      </c>
      <c r="Q1037" s="2" t="s">
        <v>19</v>
      </c>
    </row>
    <row r="1038" spans="1:17" ht="68" x14ac:dyDescent="0.2">
      <c r="A1038" t="s">
        <v>189</v>
      </c>
      <c r="B1038" t="s">
        <v>133</v>
      </c>
      <c r="C1038" t="s">
        <v>16</v>
      </c>
      <c r="D1038" s="3">
        <v>44312</v>
      </c>
      <c r="E1038" s="1">
        <v>44312.509247685186</v>
      </c>
      <c r="F1038" t="s">
        <v>17</v>
      </c>
      <c r="G1038" t="s">
        <v>44</v>
      </c>
      <c r="H1038" s="1">
        <v>44312.375</v>
      </c>
      <c r="I1038" s="1">
        <v>44312.510416666664</v>
      </c>
      <c r="J1038" s="4">
        <f t="shared" si="16"/>
        <v>0.13541666666424135</v>
      </c>
      <c r="K1038" t="s">
        <v>201</v>
      </c>
      <c r="M1038">
        <v>17</v>
      </c>
      <c r="N1038" s="6">
        <v>0</v>
      </c>
      <c r="Q1038" s="2" t="s">
        <v>19</v>
      </c>
    </row>
    <row r="1039" spans="1:17" ht="68" x14ac:dyDescent="0.2">
      <c r="A1039" t="s">
        <v>189</v>
      </c>
      <c r="B1039" t="s">
        <v>133</v>
      </c>
      <c r="C1039" t="s">
        <v>16</v>
      </c>
      <c r="D1039" s="3">
        <v>44312</v>
      </c>
      <c r="E1039" s="1">
        <v>44312.65896990741</v>
      </c>
      <c r="F1039" t="s">
        <v>17</v>
      </c>
      <c r="G1039" t="s">
        <v>57</v>
      </c>
      <c r="H1039" s="1">
        <v>44312.53125</v>
      </c>
      <c r="I1039" s="1">
        <v>44312.666666666664</v>
      </c>
      <c r="J1039" s="4">
        <f t="shared" si="16"/>
        <v>0.13541666666424135</v>
      </c>
      <c r="K1039" t="s">
        <v>195</v>
      </c>
      <c r="M1039">
        <v>6</v>
      </c>
      <c r="N1039" s="6">
        <v>0</v>
      </c>
      <c r="Q1039" s="2" t="s">
        <v>19</v>
      </c>
    </row>
    <row r="1040" spans="1:17" ht="68" x14ac:dyDescent="0.2">
      <c r="A1040" t="s">
        <v>189</v>
      </c>
      <c r="B1040" t="s">
        <v>133</v>
      </c>
      <c r="C1040" t="s">
        <v>16</v>
      </c>
      <c r="D1040" s="3">
        <v>44313</v>
      </c>
      <c r="E1040" s="1">
        <v>44313.48778935185</v>
      </c>
      <c r="F1040" t="s">
        <v>17</v>
      </c>
      <c r="G1040" t="s">
        <v>55</v>
      </c>
      <c r="H1040" s="1">
        <v>44313.375</v>
      </c>
      <c r="I1040" s="1">
        <v>44313.489583333336</v>
      </c>
      <c r="J1040" s="4">
        <f t="shared" si="16"/>
        <v>0.11458333333575865</v>
      </c>
      <c r="K1040" t="s">
        <v>200</v>
      </c>
      <c r="M1040">
        <v>0</v>
      </c>
      <c r="N1040" s="6">
        <v>0</v>
      </c>
      <c r="Q1040" s="2" t="s">
        <v>19</v>
      </c>
    </row>
    <row r="1041" spans="1:17" ht="68" x14ac:dyDescent="0.2">
      <c r="A1041" t="s">
        <v>189</v>
      </c>
      <c r="B1041" t="s">
        <v>133</v>
      </c>
      <c r="C1041" t="s">
        <v>16</v>
      </c>
      <c r="D1041" s="3">
        <v>44313</v>
      </c>
      <c r="E1041" s="1">
        <v>44313.539513888885</v>
      </c>
      <c r="F1041" t="s">
        <v>17</v>
      </c>
      <c r="G1041" t="s">
        <v>37</v>
      </c>
      <c r="H1041" s="1">
        <v>44313.53125</v>
      </c>
      <c r="I1041" s="1">
        <v>44313.541666666664</v>
      </c>
      <c r="J1041" s="4">
        <f t="shared" si="16"/>
        <v>1.0416666664241347E-2</v>
      </c>
      <c r="K1041" t="s">
        <v>202</v>
      </c>
      <c r="M1041">
        <v>0</v>
      </c>
      <c r="N1041" s="6">
        <v>0</v>
      </c>
      <c r="Q1041" s="2" t="s">
        <v>19</v>
      </c>
    </row>
    <row r="1042" spans="1:17" ht="68" x14ac:dyDescent="0.2">
      <c r="A1042" t="s">
        <v>189</v>
      </c>
      <c r="B1042" t="s">
        <v>133</v>
      </c>
      <c r="C1042" t="s">
        <v>16</v>
      </c>
      <c r="D1042" s="3">
        <v>44313</v>
      </c>
      <c r="E1042" s="1">
        <v>44313.572256944448</v>
      </c>
      <c r="F1042" t="s">
        <v>17</v>
      </c>
      <c r="G1042" t="s">
        <v>58</v>
      </c>
      <c r="H1042" s="1">
        <v>44313.541666666664</v>
      </c>
      <c r="I1042" s="1">
        <v>44313.666666666664</v>
      </c>
      <c r="J1042" s="4">
        <f t="shared" si="16"/>
        <v>0.125</v>
      </c>
      <c r="K1042" t="s">
        <v>192</v>
      </c>
      <c r="M1042">
        <v>6</v>
      </c>
      <c r="N1042" s="6">
        <v>0</v>
      </c>
      <c r="Q1042" s="2" t="s">
        <v>19</v>
      </c>
    </row>
    <row r="1043" spans="1:17" ht="68" x14ac:dyDescent="0.2">
      <c r="A1043" t="s">
        <v>189</v>
      </c>
      <c r="B1043" t="s">
        <v>133</v>
      </c>
      <c r="C1043" t="s">
        <v>16</v>
      </c>
      <c r="D1043" s="3">
        <v>44314</v>
      </c>
      <c r="E1043" s="1">
        <v>44314.491828703707</v>
      </c>
      <c r="F1043" t="s">
        <v>17</v>
      </c>
      <c r="G1043" t="s">
        <v>53</v>
      </c>
      <c r="H1043" s="1">
        <v>44314.375</v>
      </c>
      <c r="I1043" s="1">
        <v>44314.489583333336</v>
      </c>
      <c r="J1043" s="4">
        <f t="shared" si="16"/>
        <v>0.11458333333575865</v>
      </c>
      <c r="K1043" t="s">
        <v>203</v>
      </c>
      <c r="M1043">
        <v>0</v>
      </c>
      <c r="N1043" s="6">
        <v>0</v>
      </c>
      <c r="Q1043" s="2" t="s">
        <v>19</v>
      </c>
    </row>
    <row r="1044" spans="1:17" ht="68" x14ac:dyDescent="0.2">
      <c r="A1044" t="s">
        <v>189</v>
      </c>
      <c r="B1044" t="s">
        <v>133</v>
      </c>
      <c r="C1044" t="s">
        <v>16</v>
      </c>
      <c r="D1044" s="3">
        <v>44314</v>
      </c>
      <c r="E1044" s="1">
        <v>44314.497418981482</v>
      </c>
      <c r="F1044" t="s">
        <v>17</v>
      </c>
      <c r="G1044" t="s">
        <v>53</v>
      </c>
      <c r="H1044" s="1">
        <v>44314.375</v>
      </c>
      <c r="I1044" s="1">
        <v>44314.489583333336</v>
      </c>
      <c r="J1044" s="4">
        <f t="shared" si="16"/>
        <v>0.11458333333575865</v>
      </c>
      <c r="K1044" t="s">
        <v>203</v>
      </c>
      <c r="M1044">
        <v>0</v>
      </c>
      <c r="N1044" s="6">
        <v>0</v>
      </c>
      <c r="Q1044" s="2" t="s">
        <v>19</v>
      </c>
    </row>
    <row r="1045" spans="1:17" ht="68" x14ac:dyDescent="0.2">
      <c r="A1045" t="s">
        <v>189</v>
      </c>
      <c r="B1045" t="s">
        <v>133</v>
      </c>
      <c r="C1045" t="s">
        <v>16</v>
      </c>
      <c r="D1045" s="3">
        <v>44314</v>
      </c>
      <c r="E1045" s="1">
        <v>44314.656053240738</v>
      </c>
      <c r="F1045" t="s">
        <v>17</v>
      </c>
      <c r="G1045" t="s">
        <v>59</v>
      </c>
      <c r="H1045" s="1">
        <v>44314.53125</v>
      </c>
      <c r="I1045" s="1">
        <v>44314.666666666664</v>
      </c>
      <c r="J1045" s="4">
        <f t="shared" si="16"/>
        <v>0.13541666666424135</v>
      </c>
      <c r="K1045" t="s">
        <v>195</v>
      </c>
      <c r="M1045">
        <v>10</v>
      </c>
      <c r="N1045" s="6">
        <v>0</v>
      </c>
      <c r="Q1045" s="2" t="s">
        <v>19</v>
      </c>
    </row>
    <row r="1046" spans="1:17" ht="68" x14ac:dyDescent="0.2">
      <c r="A1046" t="s">
        <v>189</v>
      </c>
      <c r="B1046" t="s">
        <v>133</v>
      </c>
      <c r="C1046" t="s">
        <v>16</v>
      </c>
      <c r="D1046" s="3">
        <v>44315</v>
      </c>
      <c r="E1046" s="1">
        <v>44315.485601851855</v>
      </c>
      <c r="F1046" t="s">
        <v>17</v>
      </c>
      <c r="G1046" t="s">
        <v>43</v>
      </c>
      <c r="H1046" s="1">
        <v>44315.375</v>
      </c>
      <c r="I1046" s="1">
        <v>44315.489583333336</v>
      </c>
      <c r="J1046" s="4">
        <f t="shared" si="16"/>
        <v>0.11458333333575865</v>
      </c>
      <c r="K1046" t="s">
        <v>200</v>
      </c>
      <c r="M1046">
        <v>3</v>
      </c>
      <c r="N1046" s="6">
        <v>0</v>
      </c>
      <c r="Q1046" s="2" t="s">
        <v>19</v>
      </c>
    </row>
    <row r="1047" spans="1:17" ht="68" x14ac:dyDescent="0.2">
      <c r="A1047" t="s">
        <v>189</v>
      </c>
      <c r="B1047" t="s">
        <v>133</v>
      </c>
      <c r="C1047" t="s">
        <v>16</v>
      </c>
      <c r="D1047" s="3">
        <v>44315</v>
      </c>
      <c r="E1047" s="1">
        <v>44315.54247685185</v>
      </c>
      <c r="F1047" t="s">
        <v>17</v>
      </c>
      <c r="G1047" t="s">
        <v>35</v>
      </c>
      <c r="H1047" s="1">
        <v>44315.53125</v>
      </c>
      <c r="I1047" s="1">
        <v>44315.541666666664</v>
      </c>
      <c r="J1047" s="4">
        <f t="shared" si="16"/>
        <v>1.0416666664241347E-2</v>
      </c>
      <c r="K1047" t="s">
        <v>202</v>
      </c>
      <c r="M1047">
        <v>0</v>
      </c>
      <c r="N1047" s="6">
        <v>0</v>
      </c>
      <c r="Q1047" s="2" t="s">
        <v>19</v>
      </c>
    </row>
    <row r="1048" spans="1:17" ht="68" x14ac:dyDescent="0.2">
      <c r="A1048" t="s">
        <v>189</v>
      </c>
      <c r="B1048" t="s">
        <v>133</v>
      </c>
      <c r="C1048" t="s">
        <v>16</v>
      </c>
      <c r="D1048" s="3">
        <v>44315</v>
      </c>
      <c r="E1048" s="1">
        <v>44315.55777777778</v>
      </c>
      <c r="F1048" t="s">
        <v>17</v>
      </c>
      <c r="G1048" t="s">
        <v>60</v>
      </c>
      <c r="H1048" s="1">
        <v>44315.541666666664</v>
      </c>
      <c r="I1048" s="1">
        <v>44315.666666666664</v>
      </c>
      <c r="J1048" s="4">
        <f t="shared" si="16"/>
        <v>0.125</v>
      </c>
      <c r="K1048" t="s">
        <v>192</v>
      </c>
      <c r="M1048">
        <v>6</v>
      </c>
      <c r="N1048" s="6">
        <v>0</v>
      </c>
      <c r="Q1048" s="2" t="s">
        <v>19</v>
      </c>
    </row>
    <row r="1049" spans="1:17" ht="68" x14ac:dyDescent="0.2">
      <c r="A1049" t="s">
        <v>189</v>
      </c>
      <c r="B1049" t="s">
        <v>133</v>
      </c>
      <c r="C1049" t="s">
        <v>16</v>
      </c>
      <c r="D1049" s="3">
        <v>44316</v>
      </c>
      <c r="E1049" s="1">
        <v>44316.501064814816</v>
      </c>
      <c r="F1049" t="s">
        <v>17</v>
      </c>
      <c r="G1049" t="s">
        <v>61</v>
      </c>
      <c r="H1049" s="1">
        <v>44316.375</v>
      </c>
      <c r="I1049" s="1">
        <v>44316.489583333336</v>
      </c>
      <c r="J1049" s="4">
        <f t="shared" si="16"/>
        <v>0.11458333333575865</v>
      </c>
      <c r="K1049" t="s">
        <v>204</v>
      </c>
      <c r="M1049">
        <v>2</v>
      </c>
      <c r="N1049" s="6">
        <v>0</v>
      </c>
      <c r="Q1049" s="2" t="s">
        <v>19</v>
      </c>
    </row>
    <row r="1050" spans="1:17" ht="68" x14ac:dyDescent="0.2">
      <c r="A1050" t="s">
        <v>189</v>
      </c>
      <c r="B1050" t="s">
        <v>133</v>
      </c>
      <c r="C1050" t="s">
        <v>16</v>
      </c>
      <c r="D1050" s="3">
        <v>44316</v>
      </c>
      <c r="E1050" s="1">
        <v>44316.616712962961</v>
      </c>
      <c r="F1050" t="s">
        <v>17</v>
      </c>
      <c r="G1050" t="s">
        <v>62</v>
      </c>
      <c r="H1050" s="1">
        <v>44316.510416666664</v>
      </c>
      <c r="I1050" s="1">
        <v>44316.65625</v>
      </c>
      <c r="J1050" s="4">
        <f t="shared" si="16"/>
        <v>0.14583333333575865</v>
      </c>
      <c r="K1050" t="s">
        <v>195</v>
      </c>
      <c r="M1050">
        <v>2</v>
      </c>
      <c r="N1050" s="6">
        <v>0</v>
      </c>
      <c r="Q1050" s="2" t="s">
        <v>19</v>
      </c>
    </row>
    <row r="1051" spans="1:17" ht="68" x14ac:dyDescent="0.2">
      <c r="A1051" t="s">
        <v>189</v>
      </c>
      <c r="B1051" t="s">
        <v>133</v>
      </c>
      <c r="C1051" t="s">
        <v>16</v>
      </c>
      <c r="D1051" s="3">
        <v>44319</v>
      </c>
      <c r="E1051" s="1">
        <v>44319.483877314815</v>
      </c>
      <c r="F1051" t="s">
        <v>17</v>
      </c>
      <c r="G1051" t="s">
        <v>63</v>
      </c>
      <c r="H1051" s="1">
        <v>44319.385416666664</v>
      </c>
      <c r="I1051" s="1">
        <v>44319.489583333336</v>
      </c>
      <c r="J1051" s="4">
        <f t="shared" si="16"/>
        <v>0.10416666667151731</v>
      </c>
      <c r="K1051" t="s">
        <v>199</v>
      </c>
      <c r="M1051">
        <v>0</v>
      </c>
      <c r="N1051" s="6">
        <v>0</v>
      </c>
      <c r="Q1051" s="2" t="s">
        <v>19</v>
      </c>
    </row>
    <row r="1052" spans="1:17" ht="68" x14ac:dyDescent="0.2">
      <c r="A1052" t="s">
        <v>189</v>
      </c>
      <c r="B1052" t="s">
        <v>133</v>
      </c>
      <c r="C1052" t="s">
        <v>16</v>
      </c>
      <c r="D1052" s="3">
        <v>44319</v>
      </c>
      <c r="E1052" s="1">
        <v>44319.654756944445</v>
      </c>
      <c r="F1052" t="s">
        <v>17</v>
      </c>
      <c r="G1052" t="s">
        <v>45</v>
      </c>
      <c r="H1052" s="1">
        <v>44319.53125</v>
      </c>
      <c r="I1052" s="1">
        <v>44319.666666666664</v>
      </c>
      <c r="J1052" s="4">
        <f t="shared" si="16"/>
        <v>0.13541666666424135</v>
      </c>
      <c r="K1052" t="s">
        <v>195</v>
      </c>
      <c r="M1052">
        <v>4</v>
      </c>
      <c r="N1052" s="6">
        <v>0</v>
      </c>
      <c r="Q1052" s="2" t="s">
        <v>19</v>
      </c>
    </row>
    <row r="1053" spans="1:17" ht="68" x14ac:dyDescent="0.2">
      <c r="A1053" t="s">
        <v>189</v>
      </c>
      <c r="B1053" t="s">
        <v>133</v>
      </c>
      <c r="C1053" t="s">
        <v>16</v>
      </c>
      <c r="D1053" s="3">
        <v>44320</v>
      </c>
      <c r="E1053" s="1">
        <v>44320.487129629626</v>
      </c>
      <c r="F1053" t="s">
        <v>17</v>
      </c>
      <c r="G1053" t="s">
        <v>64</v>
      </c>
      <c r="H1053" s="1">
        <v>44320.380555555559</v>
      </c>
      <c r="I1053" s="1">
        <v>44320.492361111108</v>
      </c>
      <c r="J1053" s="4">
        <f t="shared" si="16"/>
        <v>0.11180555554892635</v>
      </c>
      <c r="K1053" t="s">
        <v>205</v>
      </c>
      <c r="M1053">
        <v>0</v>
      </c>
      <c r="N1053" s="6">
        <v>0</v>
      </c>
      <c r="Q1053" s="2" t="s">
        <v>19</v>
      </c>
    </row>
    <row r="1054" spans="1:17" ht="68" x14ac:dyDescent="0.2">
      <c r="A1054" t="s">
        <v>189</v>
      </c>
      <c r="B1054" t="s">
        <v>133</v>
      </c>
      <c r="C1054" t="s">
        <v>16</v>
      </c>
      <c r="D1054" s="3">
        <v>44321</v>
      </c>
      <c r="E1054" s="1">
        <v>44321.658622685187</v>
      </c>
      <c r="F1054" t="s">
        <v>17</v>
      </c>
      <c r="G1054" t="s">
        <v>66</v>
      </c>
      <c r="H1054" s="1">
        <v>44321.510416666664</v>
      </c>
      <c r="I1054" s="1">
        <v>44321.666666666664</v>
      </c>
      <c r="J1054" s="4">
        <f t="shared" si="16"/>
        <v>0.15625</v>
      </c>
      <c r="K1054" t="s">
        <v>195</v>
      </c>
      <c r="M1054">
        <v>2</v>
      </c>
      <c r="N1054" s="6">
        <v>0</v>
      </c>
      <c r="Q1054" s="2" t="s">
        <v>19</v>
      </c>
    </row>
    <row r="1055" spans="1:17" ht="68" x14ac:dyDescent="0.2">
      <c r="A1055" t="s">
        <v>189</v>
      </c>
      <c r="B1055" t="s">
        <v>133</v>
      </c>
      <c r="C1055" t="s">
        <v>16</v>
      </c>
      <c r="D1055" s="3">
        <v>44323</v>
      </c>
      <c r="E1055" s="1">
        <v>44323.488217592596</v>
      </c>
      <c r="F1055" t="s">
        <v>17</v>
      </c>
      <c r="G1055" t="s">
        <v>61</v>
      </c>
      <c r="H1055" s="1">
        <v>44323.375</v>
      </c>
      <c r="I1055" s="1">
        <v>44323.489583333336</v>
      </c>
      <c r="J1055" s="4">
        <f t="shared" si="16"/>
        <v>0.11458333333575865</v>
      </c>
      <c r="K1055" t="s">
        <v>206</v>
      </c>
      <c r="M1055">
        <v>2</v>
      </c>
      <c r="N1055" s="6">
        <v>0</v>
      </c>
      <c r="Q1055" s="2" t="s">
        <v>19</v>
      </c>
    </row>
    <row r="1056" spans="1:17" ht="68" x14ac:dyDescent="0.2">
      <c r="A1056" t="s">
        <v>189</v>
      </c>
      <c r="B1056" t="s">
        <v>133</v>
      </c>
      <c r="C1056" t="s">
        <v>16</v>
      </c>
      <c r="D1056" s="3">
        <v>44323</v>
      </c>
      <c r="E1056" s="1">
        <v>44323.588495370372</v>
      </c>
      <c r="F1056" t="s">
        <v>17</v>
      </c>
      <c r="G1056" t="s">
        <v>67</v>
      </c>
      <c r="H1056" s="1">
        <v>44323.510416666664</v>
      </c>
      <c r="I1056" s="1">
        <v>44323.666666666664</v>
      </c>
      <c r="J1056" s="4">
        <f t="shared" si="16"/>
        <v>0.15625</v>
      </c>
      <c r="K1056" t="s">
        <v>207</v>
      </c>
      <c r="M1056">
        <v>1</v>
      </c>
      <c r="N1056" s="6">
        <v>0</v>
      </c>
      <c r="Q1056" s="2" t="s">
        <v>19</v>
      </c>
    </row>
    <row r="1057" spans="1:17" ht="68" x14ac:dyDescent="0.2">
      <c r="A1057" t="s">
        <v>189</v>
      </c>
      <c r="B1057" t="s">
        <v>133</v>
      </c>
      <c r="C1057" t="s">
        <v>16</v>
      </c>
      <c r="D1057" s="3">
        <v>44326</v>
      </c>
      <c r="E1057" s="1">
        <v>44326.489537037036</v>
      </c>
      <c r="F1057" t="s">
        <v>17</v>
      </c>
      <c r="G1057" t="s">
        <v>63</v>
      </c>
      <c r="H1057" s="1">
        <v>44326.375</v>
      </c>
      <c r="I1057" s="1">
        <v>44326.489583333336</v>
      </c>
      <c r="J1057" s="4">
        <f t="shared" si="16"/>
        <v>0.11458333333575865</v>
      </c>
      <c r="K1057" t="s">
        <v>199</v>
      </c>
      <c r="M1057">
        <v>1</v>
      </c>
      <c r="N1057" s="6">
        <v>0</v>
      </c>
      <c r="Q1057" s="2" t="s">
        <v>19</v>
      </c>
    </row>
    <row r="1058" spans="1:17" ht="68" x14ac:dyDescent="0.2">
      <c r="A1058" t="s">
        <v>189</v>
      </c>
      <c r="B1058" t="s">
        <v>133</v>
      </c>
      <c r="C1058" t="s">
        <v>16</v>
      </c>
      <c r="D1058" s="3">
        <v>44326</v>
      </c>
      <c r="E1058" s="1">
        <v>44326.648240740738</v>
      </c>
      <c r="F1058" t="s">
        <v>17</v>
      </c>
      <c r="G1058" t="s">
        <v>59</v>
      </c>
      <c r="H1058" s="1">
        <v>44326.53125</v>
      </c>
      <c r="I1058" s="1">
        <v>44326.666666666664</v>
      </c>
      <c r="J1058" s="4">
        <f t="shared" si="16"/>
        <v>0.13541666666424135</v>
      </c>
      <c r="K1058" t="s">
        <v>195</v>
      </c>
      <c r="M1058">
        <v>0</v>
      </c>
      <c r="N1058" s="6">
        <v>0</v>
      </c>
      <c r="Q1058" s="2" t="s">
        <v>19</v>
      </c>
    </row>
    <row r="1059" spans="1:17" ht="68" x14ac:dyDescent="0.2">
      <c r="A1059" t="s">
        <v>189</v>
      </c>
      <c r="B1059" t="s">
        <v>133</v>
      </c>
      <c r="C1059" t="s">
        <v>16</v>
      </c>
      <c r="D1059" s="3">
        <v>44327</v>
      </c>
      <c r="E1059" s="1">
        <v>44327.502835648149</v>
      </c>
      <c r="F1059" t="s">
        <v>17</v>
      </c>
      <c r="G1059" t="s">
        <v>101</v>
      </c>
      <c r="H1059" s="1">
        <v>44327.489583333336</v>
      </c>
      <c r="I1059" s="1">
        <v>44327.5</v>
      </c>
      <c r="J1059" s="4">
        <f t="shared" si="16"/>
        <v>1.0416666664241347E-2</v>
      </c>
      <c r="K1059" t="s">
        <v>190</v>
      </c>
      <c r="M1059">
        <v>2</v>
      </c>
      <c r="N1059" s="6">
        <v>0</v>
      </c>
      <c r="Q1059" s="2" t="s">
        <v>19</v>
      </c>
    </row>
    <row r="1060" spans="1:17" ht="68" x14ac:dyDescent="0.2">
      <c r="A1060" t="s">
        <v>189</v>
      </c>
      <c r="B1060" t="s">
        <v>133</v>
      </c>
      <c r="C1060" t="s">
        <v>16</v>
      </c>
      <c r="D1060" s="3">
        <v>44327</v>
      </c>
      <c r="E1060" s="1">
        <v>44327.502858796295</v>
      </c>
      <c r="F1060" t="s">
        <v>17</v>
      </c>
      <c r="G1060" t="s">
        <v>101</v>
      </c>
      <c r="H1060" s="1">
        <v>44327.489583333336</v>
      </c>
      <c r="I1060" s="1">
        <v>44327.5</v>
      </c>
      <c r="J1060" s="4">
        <f t="shared" si="16"/>
        <v>1.0416666664241347E-2</v>
      </c>
      <c r="K1060" t="s">
        <v>190</v>
      </c>
      <c r="M1060">
        <v>0</v>
      </c>
      <c r="N1060" s="5" t="s">
        <v>144</v>
      </c>
      <c r="Q1060" s="2" t="s">
        <v>19</v>
      </c>
    </row>
    <row r="1061" spans="1:17" ht="68" x14ac:dyDescent="0.2">
      <c r="A1061" t="s">
        <v>189</v>
      </c>
      <c r="B1061" t="s">
        <v>133</v>
      </c>
      <c r="C1061" t="s">
        <v>16</v>
      </c>
      <c r="D1061" s="3">
        <v>44327</v>
      </c>
      <c r="E1061" s="1">
        <v>44327.861215277779</v>
      </c>
      <c r="F1061" t="s">
        <v>17</v>
      </c>
      <c r="G1061" t="s">
        <v>68</v>
      </c>
      <c r="H1061" s="1">
        <v>44327.541666666664</v>
      </c>
      <c r="I1061" s="1">
        <v>44327.583333333336</v>
      </c>
      <c r="J1061" s="4">
        <f t="shared" si="16"/>
        <v>4.1666666671517305E-2</v>
      </c>
      <c r="K1061" t="s">
        <v>192</v>
      </c>
      <c r="M1061">
        <v>0</v>
      </c>
      <c r="N1061" s="6">
        <v>0</v>
      </c>
      <c r="Q1061" s="2" t="s">
        <v>19</v>
      </c>
    </row>
    <row r="1062" spans="1:17" ht="68" x14ac:dyDescent="0.2">
      <c r="A1062" t="s">
        <v>189</v>
      </c>
      <c r="B1062" t="s">
        <v>133</v>
      </c>
      <c r="C1062" t="s">
        <v>16</v>
      </c>
      <c r="D1062" s="3">
        <v>44328</v>
      </c>
      <c r="E1062" s="1">
        <v>44328.656851851854</v>
      </c>
      <c r="F1062" t="s">
        <v>17</v>
      </c>
      <c r="G1062" t="s">
        <v>45</v>
      </c>
      <c r="H1062" s="1">
        <v>44328.53125</v>
      </c>
      <c r="I1062" s="1">
        <v>44328.666666666664</v>
      </c>
      <c r="J1062" s="4">
        <f t="shared" si="16"/>
        <v>0.13541666666424135</v>
      </c>
      <c r="K1062" t="s">
        <v>195</v>
      </c>
      <c r="M1062">
        <v>2</v>
      </c>
      <c r="N1062" s="6">
        <v>0</v>
      </c>
      <c r="Q1062" s="2" t="s">
        <v>19</v>
      </c>
    </row>
    <row r="1063" spans="1:17" ht="68" x14ac:dyDescent="0.2">
      <c r="A1063" t="s">
        <v>189</v>
      </c>
      <c r="B1063" t="s">
        <v>133</v>
      </c>
      <c r="C1063" t="s">
        <v>16</v>
      </c>
      <c r="D1063" s="3">
        <v>44334</v>
      </c>
      <c r="E1063" s="1">
        <v>44334.486643518518</v>
      </c>
      <c r="F1063" t="s">
        <v>17</v>
      </c>
      <c r="G1063" t="s">
        <v>55</v>
      </c>
      <c r="H1063" s="1">
        <v>44334.375</v>
      </c>
      <c r="I1063" s="1">
        <v>44334.489583333336</v>
      </c>
      <c r="J1063" s="4">
        <f t="shared" si="16"/>
        <v>0.11458333333575865</v>
      </c>
      <c r="K1063" t="s">
        <v>200</v>
      </c>
      <c r="M1063">
        <v>1</v>
      </c>
      <c r="N1063" s="6">
        <v>0</v>
      </c>
      <c r="Q1063" s="2" t="s">
        <v>19</v>
      </c>
    </row>
    <row r="1064" spans="1:17" ht="68" x14ac:dyDescent="0.2">
      <c r="A1064" t="s">
        <v>189</v>
      </c>
      <c r="B1064" t="s">
        <v>133</v>
      </c>
      <c r="C1064" t="s">
        <v>16</v>
      </c>
      <c r="D1064" s="3">
        <v>44334</v>
      </c>
      <c r="E1064" s="1">
        <v>44334.668240740742</v>
      </c>
      <c r="F1064" t="s">
        <v>17</v>
      </c>
      <c r="G1064" t="s">
        <v>69</v>
      </c>
      <c r="H1064" s="1">
        <v>44334.541666666664</v>
      </c>
      <c r="I1064" s="1">
        <v>44334.666666666664</v>
      </c>
      <c r="J1064" s="4">
        <f t="shared" si="16"/>
        <v>0.125</v>
      </c>
      <c r="K1064" t="s">
        <v>192</v>
      </c>
      <c r="M1064">
        <v>0</v>
      </c>
      <c r="N1064" s="6">
        <v>0</v>
      </c>
      <c r="Q1064" s="2" t="s">
        <v>19</v>
      </c>
    </row>
    <row r="1065" spans="1:17" ht="68" x14ac:dyDescent="0.2">
      <c r="A1065" t="s">
        <v>189</v>
      </c>
      <c r="B1065" t="s">
        <v>133</v>
      </c>
      <c r="C1065" t="s">
        <v>16</v>
      </c>
      <c r="D1065" s="3">
        <v>44335</v>
      </c>
      <c r="E1065" s="1">
        <v>44335.661631944444</v>
      </c>
      <c r="F1065" t="s">
        <v>17</v>
      </c>
      <c r="G1065" t="s">
        <v>70</v>
      </c>
      <c r="H1065" s="1">
        <v>44335.53125</v>
      </c>
      <c r="I1065" s="1">
        <v>44335.65625</v>
      </c>
      <c r="J1065" s="4">
        <f t="shared" si="16"/>
        <v>0.125</v>
      </c>
      <c r="K1065" t="s">
        <v>200</v>
      </c>
      <c r="M1065">
        <v>0</v>
      </c>
      <c r="N1065" s="6">
        <v>0</v>
      </c>
      <c r="Q1065" s="2" t="s">
        <v>19</v>
      </c>
    </row>
    <row r="1066" spans="1:17" ht="68" x14ac:dyDescent="0.2">
      <c r="A1066" t="s">
        <v>189</v>
      </c>
      <c r="B1066" t="s">
        <v>133</v>
      </c>
      <c r="C1066" t="s">
        <v>16</v>
      </c>
      <c r="D1066" s="3">
        <v>44336</v>
      </c>
      <c r="E1066" s="1">
        <v>44336.488587962966</v>
      </c>
      <c r="F1066" t="s">
        <v>17</v>
      </c>
      <c r="G1066" t="s">
        <v>52</v>
      </c>
      <c r="H1066" s="1">
        <v>44336.375</v>
      </c>
      <c r="I1066" s="1">
        <v>44336.489583333336</v>
      </c>
      <c r="J1066" s="4">
        <f t="shared" si="16"/>
        <v>0.11458333333575865</v>
      </c>
      <c r="K1066" t="s">
        <v>200</v>
      </c>
      <c r="M1066">
        <v>1</v>
      </c>
      <c r="N1066" s="6">
        <v>0</v>
      </c>
      <c r="Q1066" s="2" t="s">
        <v>19</v>
      </c>
    </row>
    <row r="1067" spans="1:17" ht="68" x14ac:dyDescent="0.2">
      <c r="A1067" t="s">
        <v>189</v>
      </c>
      <c r="B1067" t="s">
        <v>133</v>
      </c>
      <c r="C1067" t="s">
        <v>16</v>
      </c>
      <c r="D1067" s="3">
        <v>44336</v>
      </c>
      <c r="E1067" s="1">
        <v>44336.657546296294</v>
      </c>
      <c r="F1067" t="s">
        <v>17</v>
      </c>
      <c r="G1067" t="s">
        <v>59</v>
      </c>
      <c r="H1067" s="1">
        <v>44336.53125</v>
      </c>
      <c r="I1067" s="1">
        <v>44336.65625</v>
      </c>
      <c r="J1067" s="4">
        <f t="shared" si="16"/>
        <v>0.125</v>
      </c>
      <c r="K1067" t="s">
        <v>192</v>
      </c>
      <c r="M1067">
        <v>0</v>
      </c>
      <c r="N1067" s="6">
        <v>0</v>
      </c>
      <c r="Q1067" s="2" t="s">
        <v>19</v>
      </c>
    </row>
    <row r="1068" spans="1:17" ht="68" x14ac:dyDescent="0.2">
      <c r="A1068" t="s">
        <v>189</v>
      </c>
      <c r="B1068" t="s">
        <v>133</v>
      </c>
      <c r="C1068" t="s">
        <v>16</v>
      </c>
      <c r="D1068" s="3">
        <v>44337</v>
      </c>
      <c r="E1068" s="1">
        <v>44337.485601851855</v>
      </c>
      <c r="F1068" t="s">
        <v>17</v>
      </c>
      <c r="G1068" t="s">
        <v>44</v>
      </c>
      <c r="H1068" s="1">
        <v>44337.375</v>
      </c>
      <c r="I1068" s="1">
        <v>44337.489583333336</v>
      </c>
      <c r="J1068" s="4">
        <f t="shared" si="16"/>
        <v>0.11458333333575865</v>
      </c>
      <c r="K1068" t="s">
        <v>199</v>
      </c>
      <c r="M1068">
        <v>0</v>
      </c>
      <c r="N1068" s="6">
        <v>0</v>
      </c>
      <c r="Q1068" s="2" t="s">
        <v>19</v>
      </c>
    </row>
    <row r="1069" spans="1:17" ht="68" x14ac:dyDescent="0.2">
      <c r="A1069" t="s">
        <v>189</v>
      </c>
      <c r="B1069" t="s">
        <v>133</v>
      </c>
      <c r="C1069" t="s">
        <v>16</v>
      </c>
      <c r="D1069" s="3">
        <v>44338</v>
      </c>
      <c r="E1069" s="1">
        <v>44338.493807870371</v>
      </c>
      <c r="F1069" t="s">
        <v>17</v>
      </c>
      <c r="G1069" t="s">
        <v>47</v>
      </c>
      <c r="H1069" s="1">
        <v>44338.375</v>
      </c>
      <c r="I1069" s="1">
        <v>44338.489583333336</v>
      </c>
      <c r="J1069" s="4">
        <f t="shared" si="16"/>
        <v>0.11458333333575865</v>
      </c>
      <c r="K1069" t="s">
        <v>209</v>
      </c>
      <c r="M1069">
        <v>0</v>
      </c>
      <c r="N1069" s="6">
        <v>0</v>
      </c>
      <c r="Q1069" s="2" t="s">
        <v>19</v>
      </c>
    </row>
    <row r="1070" spans="1:17" ht="68" x14ac:dyDescent="0.2">
      <c r="A1070" t="s">
        <v>189</v>
      </c>
      <c r="B1070" t="s">
        <v>133</v>
      </c>
      <c r="C1070" t="s">
        <v>16</v>
      </c>
      <c r="D1070" s="3">
        <v>44338</v>
      </c>
      <c r="E1070" s="1">
        <v>44338.63177083333</v>
      </c>
      <c r="F1070" t="s">
        <v>17</v>
      </c>
      <c r="G1070" t="s">
        <v>42</v>
      </c>
      <c r="H1070" s="1">
        <v>44338.53125</v>
      </c>
      <c r="I1070" s="1">
        <v>44338.645833333336</v>
      </c>
      <c r="J1070" s="4">
        <f t="shared" si="16"/>
        <v>0.11458333333575865</v>
      </c>
      <c r="K1070" t="s">
        <v>210</v>
      </c>
      <c r="M1070">
        <v>0</v>
      </c>
      <c r="N1070" s="6">
        <v>0</v>
      </c>
      <c r="Q1070" s="2" t="s">
        <v>19</v>
      </c>
    </row>
    <row r="1071" spans="1:17" ht="68" x14ac:dyDescent="0.2">
      <c r="A1071" t="s">
        <v>189</v>
      </c>
      <c r="B1071" t="s">
        <v>133</v>
      </c>
      <c r="C1071" t="s">
        <v>16</v>
      </c>
      <c r="D1071" s="3">
        <v>44340</v>
      </c>
      <c r="E1071" s="1">
        <v>44340.499097222222</v>
      </c>
      <c r="F1071" t="s">
        <v>17</v>
      </c>
      <c r="G1071" t="s">
        <v>71</v>
      </c>
      <c r="H1071" s="1">
        <v>44340.375</v>
      </c>
      <c r="I1071" s="1">
        <v>44340.489583333336</v>
      </c>
      <c r="J1071" s="4">
        <f t="shared" si="16"/>
        <v>0.11458333333575865</v>
      </c>
      <c r="K1071" t="s">
        <v>211</v>
      </c>
      <c r="M1071">
        <v>1</v>
      </c>
      <c r="N1071" s="6">
        <v>0</v>
      </c>
      <c r="Q1071" s="2" t="s">
        <v>19</v>
      </c>
    </row>
    <row r="1072" spans="1:17" ht="68" x14ac:dyDescent="0.2">
      <c r="A1072" t="s">
        <v>189</v>
      </c>
      <c r="B1072" t="s">
        <v>133</v>
      </c>
      <c r="C1072" t="s">
        <v>16</v>
      </c>
      <c r="D1072" s="3">
        <v>44340</v>
      </c>
      <c r="E1072" s="1">
        <v>44340.510833333334</v>
      </c>
      <c r="F1072" t="s">
        <v>17</v>
      </c>
      <c r="G1072" t="s">
        <v>71</v>
      </c>
      <c r="H1072" s="1">
        <v>44340.375</v>
      </c>
      <c r="I1072" s="1">
        <v>44340.489583333336</v>
      </c>
      <c r="J1072" s="4">
        <f t="shared" si="16"/>
        <v>0.11458333333575865</v>
      </c>
      <c r="K1072" t="s">
        <v>211</v>
      </c>
      <c r="M1072">
        <v>0</v>
      </c>
      <c r="N1072" s="5" t="s">
        <v>144</v>
      </c>
      <c r="Q1072" s="2" t="s">
        <v>19</v>
      </c>
    </row>
    <row r="1073" spans="1:17" ht="68" x14ac:dyDescent="0.2">
      <c r="A1073" t="s">
        <v>189</v>
      </c>
      <c r="B1073" t="s">
        <v>133</v>
      </c>
      <c r="C1073" t="s">
        <v>16</v>
      </c>
      <c r="D1073" s="3">
        <v>44340</v>
      </c>
      <c r="E1073" s="1">
        <v>44340.545324074075</v>
      </c>
      <c r="F1073" t="s">
        <v>17</v>
      </c>
      <c r="G1073" t="s">
        <v>56</v>
      </c>
      <c r="H1073" s="1">
        <v>44340.53125</v>
      </c>
      <c r="I1073" s="1">
        <v>44340.666666666664</v>
      </c>
      <c r="J1073" s="4">
        <f t="shared" si="16"/>
        <v>0.13541666666424135</v>
      </c>
      <c r="K1073" t="s">
        <v>200</v>
      </c>
      <c r="M1073">
        <v>2</v>
      </c>
      <c r="N1073" s="6">
        <v>0</v>
      </c>
      <c r="Q1073" s="2" t="s">
        <v>19</v>
      </c>
    </row>
    <row r="1074" spans="1:17" ht="68" x14ac:dyDescent="0.2">
      <c r="A1074" t="s">
        <v>189</v>
      </c>
      <c r="B1074" t="s">
        <v>133</v>
      </c>
      <c r="C1074" t="s">
        <v>16</v>
      </c>
      <c r="D1074" s="3">
        <v>44340</v>
      </c>
      <c r="E1074" s="1">
        <v>44340.660370370373</v>
      </c>
      <c r="F1074" t="s">
        <v>17</v>
      </c>
      <c r="G1074" t="s">
        <v>56</v>
      </c>
      <c r="H1074" s="1">
        <v>44340.53125</v>
      </c>
      <c r="I1074" s="1">
        <v>44340.666666666664</v>
      </c>
      <c r="J1074" s="4">
        <f t="shared" si="16"/>
        <v>0.13541666666424135</v>
      </c>
      <c r="K1074" t="s">
        <v>200</v>
      </c>
      <c r="M1074">
        <v>0</v>
      </c>
      <c r="N1074" s="6">
        <v>0</v>
      </c>
      <c r="Q1074" s="2" t="s">
        <v>19</v>
      </c>
    </row>
    <row r="1075" spans="1:17" ht="68" x14ac:dyDescent="0.2">
      <c r="A1075" t="s">
        <v>189</v>
      </c>
      <c r="B1075" t="s">
        <v>133</v>
      </c>
      <c r="C1075" t="s">
        <v>16</v>
      </c>
      <c r="D1075" s="3">
        <v>44341</v>
      </c>
      <c r="E1075" s="1">
        <v>44341.394212962965</v>
      </c>
      <c r="F1075" t="s">
        <v>17</v>
      </c>
      <c r="G1075" t="s">
        <v>55</v>
      </c>
      <c r="H1075" s="1">
        <v>44341.383333333331</v>
      </c>
      <c r="I1075" s="1">
        <v>44341.404166666667</v>
      </c>
      <c r="J1075" s="4">
        <f t="shared" si="16"/>
        <v>2.0833333335758653E-2</v>
      </c>
      <c r="K1075" t="s">
        <v>200</v>
      </c>
      <c r="M1075">
        <v>3</v>
      </c>
      <c r="N1075" s="6">
        <v>0</v>
      </c>
      <c r="Q1075" s="2" t="s">
        <v>19</v>
      </c>
    </row>
    <row r="1076" spans="1:17" ht="68" x14ac:dyDescent="0.2">
      <c r="A1076" t="s">
        <v>189</v>
      </c>
      <c r="B1076" t="s">
        <v>133</v>
      </c>
      <c r="C1076" t="s">
        <v>16</v>
      </c>
      <c r="D1076" s="3">
        <v>44341</v>
      </c>
      <c r="E1076" s="1">
        <v>44341.488055555557</v>
      </c>
      <c r="F1076" t="s">
        <v>17</v>
      </c>
      <c r="G1076" t="s">
        <v>55</v>
      </c>
      <c r="H1076" s="1">
        <v>44341.383333333331</v>
      </c>
      <c r="I1076" s="1">
        <v>44341.404166666667</v>
      </c>
      <c r="J1076" s="4">
        <f t="shared" si="16"/>
        <v>2.0833333335758653E-2</v>
      </c>
      <c r="K1076" t="s">
        <v>200</v>
      </c>
      <c r="M1076">
        <v>0</v>
      </c>
      <c r="N1076" s="5" t="s">
        <v>144</v>
      </c>
      <c r="Q1076" s="2" t="s">
        <v>19</v>
      </c>
    </row>
    <row r="1077" spans="1:17" ht="68" x14ac:dyDescent="0.2">
      <c r="A1077" t="s">
        <v>189</v>
      </c>
      <c r="B1077" t="s">
        <v>133</v>
      </c>
      <c r="C1077" t="s">
        <v>16</v>
      </c>
      <c r="D1077" s="3">
        <v>44341</v>
      </c>
      <c r="E1077" s="1">
        <v>44341.580185185187</v>
      </c>
      <c r="F1077" t="s">
        <v>17</v>
      </c>
      <c r="G1077" t="s">
        <v>68</v>
      </c>
      <c r="H1077" s="1">
        <v>44341.541666666664</v>
      </c>
      <c r="I1077" s="1">
        <v>44341.666666666664</v>
      </c>
      <c r="J1077" s="4">
        <f t="shared" si="16"/>
        <v>0.125</v>
      </c>
      <c r="K1077" t="s">
        <v>192</v>
      </c>
      <c r="M1077">
        <v>1</v>
      </c>
      <c r="N1077" s="6">
        <v>0</v>
      </c>
      <c r="Q1077" s="2" t="s">
        <v>19</v>
      </c>
    </row>
    <row r="1078" spans="1:17" ht="68" x14ac:dyDescent="0.2">
      <c r="A1078" t="s">
        <v>189</v>
      </c>
      <c r="B1078" t="s">
        <v>133</v>
      </c>
      <c r="C1078" t="s">
        <v>16</v>
      </c>
      <c r="D1078" s="3">
        <v>44341</v>
      </c>
      <c r="E1078" s="1">
        <v>44341.660104166665</v>
      </c>
      <c r="F1078" t="s">
        <v>17</v>
      </c>
      <c r="G1078" t="s">
        <v>68</v>
      </c>
      <c r="H1078" s="1">
        <v>44341.541666666664</v>
      </c>
      <c r="I1078" s="1">
        <v>44341.666666666664</v>
      </c>
      <c r="J1078" s="4">
        <f t="shared" si="16"/>
        <v>0.125</v>
      </c>
      <c r="K1078" t="s">
        <v>192</v>
      </c>
      <c r="M1078">
        <v>0</v>
      </c>
      <c r="N1078" s="6">
        <v>0</v>
      </c>
      <c r="Q1078" s="2" t="s">
        <v>19</v>
      </c>
    </row>
    <row r="1079" spans="1:17" ht="68" x14ac:dyDescent="0.2">
      <c r="A1079" t="s">
        <v>189</v>
      </c>
      <c r="B1079" t="s">
        <v>133</v>
      </c>
      <c r="C1079" t="s">
        <v>16</v>
      </c>
      <c r="D1079" s="3">
        <v>44342</v>
      </c>
      <c r="E1079" s="1">
        <v>44342.493900462963</v>
      </c>
      <c r="F1079" t="s">
        <v>17</v>
      </c>
      <c r="G1079" t="s">
        <v>72</v>
      </c>
      <c r="H1079" s="1">
        <v>44342.375</v>
      </c>
      <c r="I1079" s="1">
        <v>44342.5</v>
      </c>
      <c r="J1079" s="4">
        <f t="shared" si="16"/>
        <v>0.125</v>
      </c>
      <c r="K1079" t="s">
        <v>212</v>
      </c>
      <c r="M1079">
        <v>0</v>
      </c>
      <c r="N1079" s="6">
        <v>0</v>
      </c>
      <c r="Q1079" s="2" t="s">
        <v>19</v>
      </c>
    </row>
    <row r="1080" spans="1:17" ht="68" x14ac:dyDescent="0.2">
      <c r="A1080" t="s">
        <v>189</v>
      </c>
      <c r="B1080" t="s">
        <v>133</v>
      </c>
      <c r="C1080" t="s">
        <v>16</v>
      </c>
      <c r="D1080" s="3">
        <v>44342</v>
      </c>
      <c r="E1080" s="1">
        <v>44342.66065972222</v>
      </c>
      <c r="F1080" t="s">
        <v>17</v>
      </c>
      <c r="G1080" t="s">
        <v>35</v>
      </c>
      <c r="H1080" s="1">
        <v>44342.53125</v>
      </c>
      <c r="I1080" s="1">
        <v>44342.666666666664</v>
      </c>
      <c r="J1080" s="4">
        <f t="shared" si="16"/>
        <v>0.13541666666424135</v>
      </c>
      <c r="K1080" t="s">
        <v>200</v>
      </c>
      <c r="M1080">
        <v>0</v>
      </c>
      <c r="N1080" s="6">
        <v>0</v>
      </c>
      <c r="Q1080" s="2" t="s">
        <v>19</v>
      </c>
    </row>
    <row r="1081" spans="1:17" ht="68" x14ac:dyDescent="0.2">
      <c r="A1081" t="s">
        <v>189</v>
      </c>
      <c r="B1081" t="s">
        <v>133</v>
      </c>
      <c r="C1081" t="s">
        <v>16</v>
      </c>
      <c r="D1081" s="3">
        <v>44343</v>
      </c>
      <c r="E1081" s="1">
        <v>44343.486481481479</v>
      </c>
      <c r="F1081" t="s">
        <v>17</v>
      </c>
      <c r="G1081" t="s">
        <v>73</v>
      </c>
      <c r="H1081" s="1">
        <v>44343.375</v>
      </c>
      <c r="I1081" s="1">
        <v>44343.489583333336</v>
      </c>
      <c r="J1081" s="4">
        <f t="shared" si="16"/>
        <v>0.11458333333575865</v>
      </c>
      <c r="K1081" t="s">
        <v>196</v>
      </c>
      <c r="M1081">
        <v>0</v>
      </c>
      <c r="N1081" s="5" t="s">
        <v>144</v>
      </c>
      <c r="Q1081" s="2" t="s">
        <v>19</v>
      </c>
    </row>
    <row r="1082" spans="1:17" ht="68" x14ac:dyDescent="0.2">
      <c r="A1082" t="s">
        <v>189</v>
      </c>
      <c r="B1082" t="s">
        <v>133</v>
      </c>
      <c r="C1082" t="s">
        <v>16</v>
      </c>
      <c r="D1082" s="3">
        <v>44343</v>
      </c>
      <c r="E1082" s="1">
        <v>44343.486527777779</v>
      </c>
      <c r="F1082" t="s">
        <v>17</v>
      </c>
      <c r="G1082" t="s">
        <v>73</v>
      </c>
      <c r="H1082" s="1">
        <v>44343.375</v>
      </c>
      <c r="I1082" s="1">
        <v>44343.489583333336</v>
      </c>
      <c r="J1082" s="4">
        <f t="shared" si="16"/>
        <v>0.11458333333575865</v>
      </c>
      <c r="K1082" t="s">
        <v>196</v>
      </c>
      <c r="M1082">
        <v>0</v>
      </c>
      <c r="N1082" s="6">
        <v>0</v>
      </c>
      <c r="Q1082" s="2" t="s">
        <v>19</v>
      </c>
    </row>
    <row r="1083" spans="1:17" ht="68" x14ac:dyDescent="0.2">
      <c r="A1083" t="s">
        <v>189</v>
      </c>
      <c r="B1083" t="s">
        <v>133</v>
      </c>
      <c r="C1083" t="s">
        <v>16</v>
      </c>
      <c r="D1083" s="3">
        <v>44344</v>
      </c>
      <c r="E1083" s="1">
        <v>44344.488356481481</v>
      </c>
      <c r="F1083" t="s">
        <v>17</v>
      </c>
      <c r="G1083" t="s">
        <v>53</v>
      </c>
      <c r="H1083" s="1">
        <v>44344.375</v>
      </c>
      <c r="I1083" s="1">
        <v>44344.489583333336</v>
      </c>
      <c r="J1083" s="4">
        <f t="shared" si="16"/>
        <v>0.11458333333575865</v>
      </c>
      <c r="K1083" t="s">
        <v>199</v>
      </c>
      <c r="M1083">
        <v>0</v>
      </c>
      <c r="N1083" s="6">
        <v>0</v>
      </c>
      <c r="Q1083" s="2" t="s">
        <v>19</v>
      </c>
    </row>
    <row r="1084" spans="1:17" ht="68" x14ac:dyDescent="0.2">
      <c r="A1084" t="s">
        <v>189</v>
      </c>
      <c r="B1084" t="s">
        <v>133</v>
      </c>
      <c r="C1084" t="s">
        <v>16</v>
      </c>
      <c r="D1084" s="3">
        <v>44344</v>
      </c>
      <c r="E1084" s="1">
        <v>44344.659525462965</v>
      </c>
      <c r="F1084" t="s">
        <v>17</v>
      </c>
      <c r="G1084" t="s">
        <v>106</v>
      </c>
      <c r="H1084" s="1">
        <v>44344.552083333336</v>
      </c>
      <c r="I1084" s="1">
        <v>44344.666666666664</v>
      </c>
      <c r="J1084" s="4">
        <f t="shared" si="16"/>
        <v>0.11458333332848269</v>
      </c>
      <c r="K1084" t="s">
        <v>221</v>
      </c>
      <c r="M1084">
        <v>0</v>
      </c>
      <c r="N1084" s="6">
        <v>0</v>
      </c>
      <c r="Q1084" s="2" t="s">
        <v>19</v>
      </c>
    </row>
    <row r="1085" spans="1:17" ht="68" x14ac:dyDescent="0.2">
      <c r="A1085" t="s">
        <v>189</v>
      </c>
      <c r="B1085" t="s">
        <v>133</v>
      </c>
      <c r="C1085" t="s">
        <v>16</v>
      </c>
      <c r="D1085" s="3">
        <v>44348</v>
      </c>
      <c r="E1085" s="1">
        <v>44348.490891203706</v>
      </c>
      <c r="F1085" t="s">
        <v>17</v>
      </c>
      <c r="G1085" t="s">
        <v>53</v>
      </c>
      <c r="H1085" s="1">
        <v>44348.378472222219</v>
      </c>
      <c r="I1085" s="1">
        <v>44348.490972222222</v>
      </c>
      <c r="J1085" s="4">
        <f t="shared" si="16"/>
        <v>0.11250000000291038</v>
      </c>
      <c r="K1085" t="s">
        <v>213</v>
      </c>
      <c r="M1085">
        <v>0</v>
      </c>
      <c r="N1085" s="5" t="s">
        <v>144</v>
      </c>
      <c r="Q1085" s="2" t="s">
        <v>19</v>
      </c>
    </row>
    <row r="1086" spans="1:17" ht="68" x14ac:dyDescent="0.2">
      <c r="A1086" t="s">
        <v>189</v>
      </c>
      <c r="B1086" t="s">
        <v>133</v>
      </c>
      <c r="C1086" t="s">
        <v>16</v>
      </c>
      <c r="D1086" s="3">
        <v>44348</v>
      </c>
      <c r="E1086" s="1">
        <v>44348.643993055557</v>
      </c>
      <c r="F1086" t="s">
        <v>17</v>
      </c>
      <c r="G1086" t="s">
        <v>74</v>
      </c>
      <c r="H1086" s="1">
        <v>44348.541666666664</v>
      </c>
      <c r="I1086" s="1">
        <v>44348.645833333336</v>
      </c>
      <c r="J1086" s="4">
        <f t="shared" si="16"/>
        <v>0.10416666667151731</v>
      </c>
      <c r="K1086" t="s">
        <v>192</v>
      </c>
      <c r="M1086">
        <v>0</v>
      </c>
      <c r="N1086" s="6">
        <v>0</v>
      </c>
      <c r="Q1086" s="2" t="s">
        <v>19</v>
      </c>
    </row>
    <row r="1087" spans="1:17" ht="68" x14ac:dyDescent="0.2">
      <c r="A1087" t="s">
        <v>189</v>
      </c>
      <c r="B1087" t="s">
        <v>133</v>
      </c>
      <c r="C1087" t="s">
        <v>16</v>
      </c>
      <c r="D1087" s="3">
        <v>44348</v>
      </c>
      <c r="E1087" s="1">
        <v>44348.667534722219</v>
      </c>
      <c r="F1087" t="s">
        <v>17</v>
      </c>
      <c r="G1087" t="s">
        <v>75</v>
      </c>
      <c r="H1087" s="1">
        <v>44348.645833333336</v>
      </c>
      <c r="I1087" s="1">
        <v>44348.666666666664</v>
      </c>
      <c r="J1087" s="4">
        <f t="shared" si="16"/>
        <v>2.0833333328482695E-2</v>
      </c>
      <c r="K1087" t="s">
        <v>214</v>
      </c>
      <c r="M1087">
        <v>0</v>
      </c>
      <c r="N1087" s="6">
        <v>0</v>
      </c>
      <c r="Q1087" s="2" t="s">
        <v>19</v>
      </c>
    </row>
    <row r="1088" spans="1:17" ht="68" x14ac:dyDescent="0.2">
      <c r="A1088" t="s">
        <v>189</v>
      </c>
      <c r="B1088" t="s">
        <v>133</v>
      </c>
      <c r="C1088" t="s">
        <v>16</v>
      </c>
      <c r="D1088" s="3">
        <v>44349</v>
      </c>
      <c r="E1088" s="1">
        <v>44349.463043981479</v>
      </c>
      <c r="F1088" t="s">
        <v>17</v>
      </c>
      <c r="G1088" t="s">
        <v>76</v>
      </c>
      <c r="H1088" s="1">
        <v>44349.376388888886</v>
      </c>
      <c r="I1088" s="1">
        <v>44349.489583333336</v>
      </c>
      <c r="J1088" s="4">
        <f t="shared" si="16"/>
        <v>0.11319444444961846</v>
      </c>
      <c r="K1088" t="s">
        <v>197</v>
      </c>
      <c r="M1088">
        <v>1</v>
      </c>
      <c r="N1088" s="6">
        <v>0</v>
      </c>
      <c r="Q1088" s="2" t="s">
        <v>19</v>
      </c>
    </row>
    <row r="1089" spans="1:17" ht="68" x14ac:dyDescent="0.2">
      <c r="A1089" t="s">
        <v>189</v>
      </c>
      <c r="B1089" t="s">
        <v>133</v>
      </c>
      <c r="C1089" t="s">
        <v>16</v>
      </c>
      <c r="D1089" s="3">
        <v>44349</v>
      </c>
      <c r="E1089" s="1">
        <v>44349.484942129631</v>
      </c>
      <c r="F1089" t="s">
        <v>17</v>
      </c>
      <c r="G1089" t="s">
        <v>76</v>
      </c>
      <c r="H1089" s="1">
        <v>44349.376388888886</v>
      </c>
      <c r="I1089" s="1">
        <v>44349.489583333336</v>
      </c>
      <c r="J1089" s="4">
        <f t="shared" si="16"/>
        <v>0.11319444444961846</v>
      </c>
      <c r="K1089" t="s">
        <v>197</v>
      </c>
      <c r="M1089">
        <v>1</v>
      </c>
      <c r="N1089" s="6">
        <v>0</v>
      </c>
      <c r="Q1089" s="2" t="s">
        <v>19</v>
      </c>
    </row>
    <row r="1090" spans="1:17" ht="68" x14ac:dyDescent="0.2">
      <c r="A1090" t="s">
        <v>189</v>
      </c>
      <c r="B1090" t="s">
        <v>133</v>
      </c>
      <c r="C1090" t="s">
        <v>16</v>
      </c>
      <c r="D1090" s="3">
        <v>44349</v>
      </c>
      <c r="E1090" s="1">
        <v>44349.66883101852</v>
      </c>
      <c r="F1090" t="s">
        <v>17</v>
      </c>
      <c r="G1090" t="s">
        <v>37</v>
      </c>
      <c r="H1090" s="1">
        <v>44349.53125</v>
      </c>
      <c r="I1090" s="1">
        <v>44349.645833333336</v>
      </c>
      <c r="J1090" s="4">
        <f t="shared" si="16"/>
        <v>0.11458333333575865</v>
      </c>
      <c r="K1090" t="s">
        <v>192</v>
      </c>
      <c r="M1090">
        <v>0</v>
      </c>
      <c r="N1090" s="6">
        <v>0</v>
      </c>
      <c r="Q1090" s="2" t="s">
        <v>19</v>
      </c>
    </row>
    <row r="1091" spans="1:17" ht="68" x14ac:dyDescent="0.2">
      <c r="A1091" t="s">
        <v>189</v>
      </c>
      <c r="B1091" t="s">
        <v>133</v>
      </c>
      <c r="C1091" t="s">
        <v>16</v>
      </c>
      <c r="D1091" s="3">
        <v>44350</v>
      </c>
      <c r="E1091" s="1">
        <v>44350.470069444447</v>
      </c>
      <c r="F1091" t="s">
        <v>17</v>
      </c>
      <c r="G1091" t="s">
        <v>77</v>
      </c>
      <c r="H1091" s="1">
        <v>44350.333333333336</v>
      </c>
      <c r="I1091" s="1">
        <v>44350.479166666664</v>
      </c>
      <c r="J1091" s="4">
        <f t="shared" ref="J1091:J1154" si="17">IF($I1091="","",$I1091-$H1091)</f>
        <v>0.14583333332848269</v>
      </c>
      <c r="K1091" t="s">
        <v>191</v>
      </c>
      <c r="M1091">
        <v>0</v>
      </c>
      <c r="N1091" s="6">
        <v>0</v>
      </c>
      <c r="Q1091" s="2" t="s">
        <v>19</v>
      </c>
    </row>
    <row r="1092" spans="1:17" ht="68" x14ac:dyDescent="0.2">
      <c r="A1092" t="s">
        <v>189</v>
      </c>
      <c r="B1092" t="s">
        <v>133</v>
      </c>
      <c r="C1092" t="s">
        <v>16</v>
      </c>
      <c r="D1092" s="3">
        <v>44351</v>
      </c>
      <c r="E1092" s="1">
        <v>44351.488981481481</v>
      </c>
      <c r="F1092" t="s">
        <v>17</v>
      </c>
      <c r="G1092" t="s">
        <v>63</v>
      </c>
      <c r="H1092" s="1">
        <v>44351.375</v>
      </c>
      <c r="I1092" s="1">
        <v>44351.489583333336</v>
      </c>
      <c r="J1092" s="4">
        <f t="shared" si="17"/>
        <v>0.11458333333575865</v>
      </c>
      <c r="K1092" t="s">
        <v>199</v>
      </c>
      <c r="M1092">
        <v>0</v>
      </c>
      <c r="N1092" s="6">
        <v>0</v>
      </c>
      <c r="Q1092" s="2" t="s">
        <v>19</v>
      </c>
    </row>
    <row r="1093" spans="1:17" ht="68" x14ac:dyDescent="0.2">
      <c r="A1093" t="s">
        <v>189</v>
      </c>
      <c r="B1093" t="s">
        <v>133</v>
      </c>
      <c r="C1093" t="s">
        <v>16</v>
      </c>
      <c r="D1093" s="3">
        <v>44351</v>
      </c>
      <c r="E1093" s="1">
        <v>44351.658437500002</v>
      </c>
      <c r="F1093" t="s">
        <v>17</v>
      </c>
      <c r="G1093" t="s">
        <v>45</v>
      </c>
      <c r="H1093" s="1">
        <v>44351.53125</v>
      </c>
      <c r="I1093" s="1">
        <v>44351.666666666664</v>
      </c>
      <c r="J1093" s="4">
        <f t="shared" si="17"/>
        <v>0.13541666666424135</v>
      </c>
      <c r="K1093" t="s">
        <v>195</v>
      </c>
      <c r="M1093">
        <v>1</v>
      </c>
      <c r="N1093" s="6">
        <v>0</v>
      </c>
      <c r="Q1093" s="2" t="s">
        <v>19</v>
      </c>
    </row>
    <row r="1094" spans="1:17" ht="68" x14ac:dyDescent="0.2">
      <c r="A1094" t="s">
        <v>189</v>
      </c>
      <c r="B1094" t="s">
        <v>133</v>
      </c>
      <c r="C1094" t="s">
        <v>16</v>
      </c>
      <c r="D1094" s="3">
        <v>44354</v>
      </c>
      <c r="E1094" s="1">
        <v>44354.48951388889</v>
      </c>
      <c r="F1094" t="s">
        <v>17</v>
      </c>
      <c r="G1094" t="s">
        <v>78</v>
      </c>
      <c r="H1094" s="1">
        <v>44354.375</v>
      </c>
      <c r="I1094" s="1">
        <v>44354.489583333336</v>
      </c>
      <c r="J1094" s="4">
        <f t="shared" si="17"/>
        <v>0.11458333333575865</v>
      </c>
      <c r="K1094" t="s">
        <v>215</v>
      </c>
      <c r="M1094">
        <v>1</v>
      </c>
      <c r="N1094" s="6">
        <v>0</v>
      </c>
      <c r="Q1094" s="2" t="s">
        <v>19</v>
      </c>
    </row>
    <row r="1095" spans="1:17" ht="68" x14ac:dyDescent="0.2">
      <c r="A1095" t="s">
        <v>189</v>
      </c>
      <c r="B1095" t="s">
        <v>133</v>
      </c>
      <c r="C1095" t="s">
        <v>16</v>
      </c>
      <c r="D1095" s="3">
        <v>44355</v>
      </c>
      <c r="E1095" s="1">
        <v>44355.487835648149</v>
      </c>
      <c r="F1095" t="s">
        <v>17</v>
      </c>
      <c r="G1095" t="s">
        <v>80</v>
      </c>
      <c r="H1095" s="1">
        <v>44355.375</v>
      </c>
      <c r="I1095" s="1">
        <v>44355.489583333336</v>
      </c>
      <c r="J1095" s="4">
        <f t="shared" si="17"/>
        <v>0.11458333333575865</v>
      </c>
      <c r="K1095" t="s">
        <v>216</v>
      </c>
      <c r="M1095">
        <v>2</v>
      </c>
      <c r="N1095" s="6">
        <v>0</v>
      </c>
      <c r="Q1095" s="2" t="s">
        <v>19</v>
      </c>
    </row>
    <row r="1096" spans="1:17" ht="68" x14ac:dyDescent="0.2">
      <c r="A1096" t="s">
        <v>189</v>
      </c>
      <c r="B1096" t="s">
        <v>133</v>
      </c>
      <c r="C1096" t="s">
        <v>16</v>
      </c>
      <c r="D1096" s="3">
        <v>44355</v>
      </c>
      <c r="E1096" s="1">
        <v>44355.672164351854</v>
      </c>
      <c r="F1096" t="s">
        <v>17</v>
      </c>
      <c r="G1096" t="s">
        <v>48</v>
      </c>
      <c r="H1096" s="1">
        <v>44355.541666666664</v>
      </c>
      <c r="I1096" s="1">
        <v>44355.666666666664</v>
      </c>
      <c r="J1096" s="4">
        <f t="shared" si="17"/>
        <v>0.125</v>
      </c>
      <c r="K1096" t="s">
        <v>192</v>
      </c>
      <c r="M1096">
        <v>0</v>
      </c>
      <c r="N1096" s="6">
        <v>0</v>
      </c>
      <c r="Q1096" s="2" t="s">
        <v>19</v>
      </c>
    </row>
    <row r="1097" spans="1:17" ht="68" x14ac:dyDescent="0.2">
      <c r="A1097" t="s">
        <v>189</v>
      </c>
      <c r="B1097" t="s">
        <v>133</v>
      </c>
      <c r="C1097" t="s">
        <v>16</v>
      </c>
      <c r="D1097" s="3">
        <v>44356</v>
      </c>
      <c r="E1097" s="1">
        <v>44356.484942129631</v>
      </c>
      <c r="F1097" t="s">
        <v>17</v>
      </c>
      <c r="G1097" t="s">
        <v>78</v>
      </c>
      <c r="H1097" s="1">
        <v>44356.375</v>
      </c>
      <c r="I1097" s="1">
        <v>44356.489583333336</v>
      </c>
      <c r="J1097" s="4">
        <f t="shared" si="17"/>
        <v>0.11458333333575865</v>
      </c>
      <c r="K1097" t="s">
        <v>197</v>
      </c>
      <c r="M1097">
        <v>0</v>
      </c>
      <c r="N1097" s="6">
        <v>0</v>
      </c>
      <c r="Q1097" s="2" t="s">
        <v>19</v>
      </c>
    </row>
    <row r="1098" spans="1:17" ht="68" x14ac:dyDescent="0.2">
      <c r="A1098" t="s">
        <v>189</v>
      </c>
      <c r="B1098" t="s">
        <v>133</v>
      </c>
      <c r="C1098" t="s">
        <v>16</v>
      </c>
      <c r="D1098" s="3">
        <v>44356</v>
      </c>
      <c r="E1098" s="1">
        <v>44356.635393518518</v>
      </c>
      <c r="F1098" t="s">
        <v>17</v>
      </c>
      <c r="G1098" t="s">
        <v>58</v>
      </c>
      <c r="H1098" s="1">
        <v>44356.54791666667</v>
      </c>
      <c r="I1098" s="1">
        <v>44356.666666666664</v>
      </c>
      <c r="J1098" s="4">
        <f t="shared" si="17"/>
        <v>0.11874999999417923</v>
      </c>
      <c r="K1098" t="s">
        <v>200</v>
      </c>
      <c r="M1098">
        <v>0</v>
      </c>
      <c r="N1098" s="6">
        <v>0</v>
      </c>
      <c r="Q1098" s="2" t="s">
        <v>19</v>
      </c>
    </row>
    <row r="1099" spans="1:17" ht="68" x14ac:dyDescent="0.2">
      <c r="A1099" t="s">
        <v>189</v>
      </c>
      <c r="B1099" t="s">
        <v>133</v>
      </c>
      <c r="C1099" t="s">
        <v>16</v>
      </c>
      <c r="D1099" s="3">
        <v>44357</v>
      </c>
      <c r="E1099" s="1">
        <v>44357.358576388891</v>
      </c>
      <c r="F1099" t="s">
        <v>17</v>
      </c>
      <c r="G1099" t="s">
        <v>81</v>
      </c>
      <c r="H1099" s="1">
        <v>44357.333333333336</v>
      </c>
      <c r="I1099" s="1">
        <v>44357.479166666664</v>
      </c>
      <c r="J1099" s="4">
        <f t="shared" si="17"/>
        <v>0.14583333332848269</v>
      </c>
      <c r="K1099" t="s">
        <v>217</v>
      </c>
      <c r="M1099">
        <v>4</v>
      </c>
      <c r="N1099" s="6">
        <v>0</v>
      </c>
      <c r="Q1099" s="2" t="s">
        <v>19</v>
      </c>
    </row>
    <row r="1100" spans="1:17" ht="68" x14ac:dyDescent="0.2">
      <c r="A1100" t="s">
        <v>189</v>
      </c>
      <c r="B1100" t="s">
        <v>133</v>
      </c>
      <c r="C1100" t="s">
        <v>16</v>
      </c>
      <c r="D1100" s="3">
        <v>44358</v>
      </c>
      <c r="E1100" s="1">
        <v>44358.489652777775</v>
      </c>
      <c r="F1100" t="s">
        <v>17</v>
      </c>
      <c r="G1100" t="s">
        <v>53</v>
      </c>
      <c r="H1100" s="1">
        <v>44358.375</v>
      </c>
      <c r="I1100" s="1">
        <v>44358.489583333336</v>
      </c>
      <c r="J1100" s="4">
        <f t="shared" si="17"/>
        <v>0.11458333333575865</v>
      </c>
      <c r="K1100" t="s">
        <v>199</v>
      </c>
      <c r="M1100">
        <v>0</v>
      </c>
      <c r="N1100" s="6">
        <v>0</v>
      </c>
      <c r="Q1100" s="2" t="s">
        <v>19</v>
      </c>
    </row>
    <row r="1101" spans="1:17" ht="68" x14ac:dyDescent="0.2">
      <c r="A1101" t="s">
        <v>189</v>
      </c>
      <c r="B1101" t="s">
        <v>133</v>
      </c>
      <c r="C1101" t="s">
        <v>16</v>
      </c>
      <c r="D1101" s="3">
        <v>44358</v>
      </c>
      <c r="E1101" s="1">
        <v>44358.644062500003</v>
      </c>
      <c r="F1101" t="s">
        <v>17</v>
      </c>
      <c r="G1101" t="s">
        <v>82</v>
      </c>
      <c r="H1101" s="1">
        <v>44358.53125</v>
      </c>
      <c r="I1101" s="1">
        <v>44358.645833333336</v>
      </c>
      <c r="J1101" s="4">
        <f t="shared" si="17"/>
        <v>0.11458333333575865</v>
      </c>
      <c r="K1101" t="s">
        <v>200</v>
      </c>
      <c r="M1101">
        <v>0</v>
      </c>
      <c r="N1101" s="6">
        <v>0</v>
      </c>
      <c r="Q1101" s="2" t="s">
        <v>19</v>
      </c>
    </row>
    <row r="1102" spans="1:17" ht="68" x14ac:dyDescent="0.2">
      <c r="A1102" t="s">
        <v>189</v>
      </c>
      <c r="B1102" t="s">
        <v>133</v>
      </c>
      <c r="C1102" t="s">
        <v>16</v>
      </c>
      <c r="D1102" s="3">
        <v>44361</v>
      </c>
      <c r="E1102" s="1">
        <v>44361.487361111111</v>
      </c>
      <c r="F1102" t="s">
        <v>17</v>
      </c>
      <c r="G1102" t="s">
        <v>46</v>
      </c>
      <c r="H1102" s="1">
        <v>44361.375</v>
      </c>
      <c r="I1102" s="1">
        <v>44361.489583333336</v>
      </c>
      <c r="J1102" s="4">
        <f t="shared" si="17"/>
        <v>0.11458333333575865</v>
      </c>
      <c r="K1102" t="s">
        <v>199</v>
      </c>
      <c r="M1102">
        <v>0</v>
      </c>
      <c r="N1102" s="6">
        <v>0</v>
      </c>
      <c r="Q1102" s="2" t="s">
        <v>19</v>
      </c>
    </row>
    <row r="1103" spans="1:17" ht="68" x14ac:dyDescent="0.2">
      <c r="A1103" t="s">
        <v>189</v>
      </c>
      <c r="B1103" t="s">
        <v>133</v>
      </c>
      <c r="C1103" t="s">
        <v>16</v>
      </c>
      <c r="D1103" s="3">
        <v>44361</v>
      </c>
      <c r="E1103" s="1">
        <v>44361.630590277775</v>
      </c>
      <c r="F1103" t="s">
        <v>17</v>
      </c>
      <c r="G1103" t="s">
        <v>35</v>
      </c>
      <c r="H1103" s="1">
        <v>44361.537499999999</v>
      </c>
      <c r="I1103" s="1">
        <v>44361.645833333336</v>
      </c>
      <c r="J1103" s="4">
        <f t="shared" si="17"/>
        <v>0.10833333333721384</v>
      </c>
      <c r="K1103" t="s">
        <v>200</v>
      </c>
      <c r="M1103">
        <v>0</v>
      </c>
      <c r="N1103" s="6">
        <v>0</v>
      </c>
      <c r="Q1103" s="2" t="s">
        <v>19</v>
      </c>
    </row>
    <row r="1104" spans="1:17" ht="68" x14ac:dyDescent="0.2">
      <c r="A1104" t="s">
        <v>189</v>
      </c>
      <c r="B1104" t="s">
        <v>133</v>
      </c>
      <c r="C1104" t="s">
        <v>16</v>
      </c>
      <c r="D1104" s="3">
        <v>44361</v>
      </c>
      <c r="E1104" s="1">
        <v>44361.643807870372</v>
      </c>
      <c r="F1104" t="s">
        <v>17</v>
      </c>
      <c r="G1104" t="s">
        <v>35</v>
      </c>
      <c r="H1104" s="1">
        <v>44361.537499999999</v>
      </c>
      <c r="I1104" s="1">
        <v>44361.645833333336</v>
      </c>
      <c r="J1104" s="4">
        <f t="shared" si="17"/>
        <v>0.10833333333721384</v>
      </c>
      <c r="K1104" t="s">
        <v>200</v>
      </c>
      <c r="M1104">
        <v>0</v>
      </c>
      <c r="N1104" s="6">
        <v>0</v>
      </c>
      <c r="Q1104" s="2" t="s">
        <v>19</v>
      </c>
    </row>
    <row r="1105" spans="1:17" ht="68" x14ac:dyDescent="0.2">
      <c r="A1105" t="s">
        <v>189</v>
      </c>
      <c r="B1105" t="s">
        <v>133</v>
      </c>
      <c r="C1105" t="s">
        <v>16</v>
      </c>
      <c r="D1105" s="3">
        <v>44363</v>
      </c>
      <c r="E1105" s="1">
        <v>44363.662719907406</v>
      </c>
      <c r="F1105" t="s">
        <v>17</v>
      </c>
      <c r="G1105" t="s">
        <v>79</v>
      </c>
      <c r="H1105" s="1">
        <v>44363.53125</v>
      </c>
      <c r="I1105" s="1">
        <v>44363.666666666664</v>
      </c>
      <c r="J1105" s="4">
        <f t="shared" si="17"/>
        <v>0.13541666666424135</v>
      </c>
      <c r="K1105" t="s">
        <v>200</v>
      </c>
      <c r="M1105">
        <v>2</v>
      </c>
      <c r="N1105" s="6">
        <v>0</v>
      </c>
      <c r="Q1105" s="2" t="s">
        <v>19</v>
      </c>
    </row>
    <row r="1106" spans="1:17" ht="68" x14ac:dyDescent="0.2">
      <c r="A1106" t="s">
        <v>189</v>
      </c>
      <c r="B1106" t="s">
        <v>133</v>
      </c>
      <c r="C1106" t="s">
        <v>16</v>
      </c>
      <c r="D1106" s="3">
        <v>44364</v>
      </c>
      <c r="E1106" s="1">
        <v>44364.491793981484</v>
      </c>
      <c r="F1106" t="s">
        <v>17</v>
      </c>
      <c r="G1106" t="s">
        <v>77</v>
      </c>
      <c r="H1106" s="1">
        <v>44364.333333333336</v>
      </c>
      <c r="I1106" s="1">
        <v>44364.479166666664</v>
      </c>
      <c r="J1106" s="4">
        <f t="shared" si="17"/>
        <v>0.14583333332848269</v>
      </c>
      <c r="K1106" t="s">
        <v>217</v>
      </c>
      <c r="M1106">
        <v>7</v>
      </c>
      <c r="N1106" s="6">
        <v>0</v>
      </c>
      <c r="Q1106" s="2" t="s">
        <v>19</v>
      </c>
    </row>
    <row r="1107" spans="1:17" ht="68" x14ac:dyDescent="0.2">
      <c r="A1107" t="s">
        <v>189</v>
      </c>
      <c r="B1107" t="s">
        <v>133</v>
      </c>
      <c r="C1107" t="s">
        <v>16</v>
      </c>
      <c r="D1107" s="3">
        <v>44365</v>
      </c>
      <c r="E1107" s="1">
        <v>44365.490671296298</v>
      </c>
      <c r="F1107" t="s">
        <v>17</v>
      </c>
      <c r="G1107" t="s">
        <v>64</v>
      </c>
      <c r="H1107" s="1">
        <v>44365.375</v>
      </c>
      <c r="I1107" s="1">
        <v>44365.489583333336</v>
      </c>
      <c r="J1107" s="4">
        <f t="shared" si="17"/>
        <v>0.11458333333575865</v>
      </c>
      <c r="K1107" t="s">
        <v>218</v>
      </c>
      <c r="M1107">
        <v>2</v>
      </c>
      <c r="N1107" s="6">
        <v>0</v>
      </c>
      <c r="Q1107" s="2" t="s">
        <v>19</v>
      </c>
    </row>
    <row r="1108" spans="1:17" ht="68" x14ac:dyDescent="0.2">
      <c r="A1108" t="s">
        <v>189</v>
      </c>
      <c r="B1108" t="s">
        <v>133</v>
      </c>
      <c r="C1108" t="s">
        <v>16</v>
      </c>
      <c r="D1108" s="3">
        <v>44365</v>
      </c>
      <c r="E1108" s="1">
        <v>44365.658587962964</v>
      </c>
      <c r="F1108" t="s">
        <v>17</v>
      </c>
      <c r="G1108" t="s">
        <v>83</v>
      </c>
      <c r="H1108" s="1">
        <v>44365.53125</v>
      </c>
      <c r="I1108" s="1">
        <v>44365.666666666664</v>
      </c>
      <c r="J1108" s="4">
        <f t="shared" si="17"/>
        <v>0.13541666666424135</v>
      </c>
      <c r="K1108" t="s">
        <v>217</v>
      </c>
      <c r="M1108">
        <v>6</v>
      </c>
      <c r="N1108" s="6">
        <v>0</v>
      </c>
      <c r="Q1108" s="2" t="s">
        <v>19</v>
      </c>
    </row>
    <row r="1109" spans="1:17" ht="68" x14ac:dyDescent="0.2">
      <c r="A1109" t="s">
        <v>189</v>
      </c>
      <c r="B1109" t="s">
        <v>133</v>
      </c>
      <c r="C1109" t="s">
        <v>16</v>
      </c>
      <c r="D1109" s="3">
        <v>44375</v>
      </c>
      <c r="E1109" s="1">
        <v>44375.66946759259</v>
      </c>
      <c r="F1109" t="s">
        <v>17</v>
      </c>
      <c r="G1109" t="s">
        <v>84</v>
      </c>
      <c r="H1109" s="1">
        <v>44375.539583333331</v>
      </c>
      <c r="I1109" s="1">
        <v>44375.669444444444</v>
      </c>
      <c r="J1109" s="4">
        <f t="shared" si="17"/>
        <v>0.12986111111240461</v>
      </c>
      <c r="K1109" t="s">
        <v>213</v>
      </c>
      <c r="M1109">
        <v>0</v>
      </c>
      <c r="N1109" s="5" t="s">
        <v>144</v>
      </c>
      <c r="Q1109" s="2" t="s">
        <v>19</v>
      </c>
    </row>
    <row r="1110" spans="1:17" ht="68" x14ac:dyDescent="0.2">
      <c r="A1110" t="s">
        <v>189</v>
      </c>
      <c r="B1110" t="s">
        <v>134</v>
      </c>
      <c r="C1110" t="s">
        <v>16</v>
      </c>
      <c r="D1110" s="3">
        <v>44207</v>
      </c>
      <c r="E1110" s="1">
        <v>44207.465821759259</v>
      </c>
      <c r="F1110" t="s">
        <v>17</v>
      </c>
      <c r="G1110" t="s">
        <v>18</v>
      </c>
      <c r="H1110" s="1">
        <v>44207.354166666664</v>
      </c>
      <c r="I1110" s="1">
        <v>44207.479166666664</v>
      </c>
      <c r="J1110" s="4">
        <f t="shared" si="17"/>
        <v>0.125</v>
      </c>
      <c r="K1110" t="s">
        <v>190</v>
      </c>
      <c r="M1110">
        <v>0</v>
      </c>
      <c r="N1110" s="5" t="s">
        <v>144</v>
      </c>
      <c r="Q1110" s="2" t="s">
        <v>19</v>
      </c>
    </row>
    <row r="1111" spans="1:17" ht="68" x14ac:dyDescent="0.2">
      <c r="A1111" t="s">
        <v>189</v>
      </c>
      <c r="B1111" t="s">
        <v>134</v>
      </c>
      <c r="C1111" t="s">
        <v>16</v>
      </c>
      <c r="D1111" s="3">
        <v>44236</v>
      </c>
      <c r="E1111" s="1">
        <v>44236.474791666667</v>
      </c>
      <c r="F1111" t="s">
        <v>17</v>
      </c>
      <c r="G1111" t="s">
        <v>20</v>
      </c>
      <c r="H1111" s="1">
        <v>44236.354166666664</v>
      </c>
      <c r="I1111" s="1">
        <v>44236.479166666664</v>
      </c>
      <c r="J1111" s="4">
        <f t="shared" si="17"/>
        <v>0.125</v>
      </c>
      <c r="K1111" t="s">
        <v>191</v>
      </c>
      <c r="M1111">
        <v>0</v>
      </c>
      <c r="N1111" s="6">
        <v>0</v>
      </c>
      <c r="Q1111" s="2" t="s">
        <v>19</v>
      </c>
    </row>
    <row r="1112" spans="1:17" ht="68" x14ac:dyDescent="0.2">
      <c r="A1112" t="s">
        <v>189</v>
      </c>
      <c r="B1112" t="s">
        <v>134</v>
      </c>
      <c r="C1112" t="s">
        <v>16</v>
      </c>
      <c r="D1112" s="3">
        <v>44236</v>
      </c>
      <c r="E1112" s="1">
        <v>44236.674201388887</v>
      </c>
      <c r="F1112" t="s">
        <v>17</v>
      </c>
      <c r="G1112" t="s">
        <v>21</v>
      </c>
      <c r="H1112" s="1">
        <v>44236.5625</v>
      </c>
      <c r="I1112" s="1">
        <v>44236.6875</v>
      </c>
      <c r="J1112" s="4">
        <f t="shared" si="17"/>
        <v>0.125</v>
      </c>
      <c r="K1112" t="s">
        <v>192</v>
      </c>
      <c r="M1112">
        <v>1</v>
      </c>
      <c r="N1112" s="6">
        <v>0</v>
      </c>
      <c r="Q1112" s="2" t="s">
        <v>19</v>
      </c>
    </row>
    <row r="1113" spans="1:17" ht="68" x14ac:dyDescent="0.2">
      <c r="A1113" t="s">
        <v>189</v>
      </c>
      <c r="B1113" t="s">
        <v>134</v>
      </c>
      <c r="C1113" t="s">
        <v>16</v>
      </c>
      <c r="D1113" s="3">
        <v>44237</v>
      </c>
      <c r="E1113" s="1">
        <v>44237.44295138889</v>
      </c>
      <c r="F1113" t="s">
        <v>17</v>
      </c>
      <c r="G1113" t="s">
        <v>20</v>
      </c>
      <c r="H1113" s="1">
        <v>44237.354166666664</v>
      </c>
      <c r="I1113" s="1">
        <v>44237.479166666664</v>
      </c>
      <c r="J1113" s="4">
        <f t="shared" si="17"/>
        <v>0.125</v>
      </c>
      <c r="K1113" t="s">
        <v>190</v>
      </c>
      <c r="M1113">
        <v>0</v>
      </c>
      <c r="N1113" s="5" t="s">
        <v>144</v>
      </c>
      <c r="Q1113" s="2" t="s">
        <v>19</v>
      </c>
    </row>
    <row r="1114" spans="1:17" ht="68" x14ac:dyDescent="0.2">
      <c r="A1114" t="s">
        <v>189</v>
      </c>
      <c r="B1114" t="s">
        <v>134</v>
      </c>
      <c r="C1114" t="s">
        <v>16</v>
      </c>
      <c r="D1114" s="3">
        <v>44238</v>
      </c>
      <c r="E1114" s="1">
        <v>44238.474270833336</v>
      </c>
      <c r="F1114" t="s">
        <v>17</v>
      </c>
      <c r="G1114" t="s">
        <v>22</v>
      </c>
      <c r="H1114" s="1">
        <v>44238.354166666664</v>
      </c>
      <c r="I1114" s="1">
        <v>44238.479166666664</v>
      </c>
      <c r="J1114" s="4">
        <f t="shared" si="17"/>
        <v>0.125</v>
      </c>
      <c r="K1114" t="s">
        <v>191</v>
      </c>
      <c r="M1114">
        <v>0</v>
      </c>
      <c r="N1114" s="6">
        <v>0</v>
      </c>
      <c r="Q1114" s="2" t="s">
        <v>19</v>
      </c>
    </row>
    <row r="1115" spans="1:17" ht="68" x14ac:dyDescent="0.2">
      <c r="A1115" t="s">
        <v>189</v>
      </c>
      <c r="B1115" t="s">
        <v>134</v>
      </c>
      <c r="C1115" t="s">
        <v>16</v>
      </c>
      <c r="D1115" s="3">
        <v>44238</v>
      </c>
      <c r="E1115" s="1">
        <v>44238.682662037034</v>
      </c>
      <c r="F1115" t="s">
        <v>17</v>
      </c>
      <c r="G1115" t="s">
        <v>23</v>
      </c>
      <c r="H1115" s="1">
        <v>44238.5625</v>
      </c>
      <c r="I1115" s="1">
        <v>44238.6875</v>
      </c>
      <c r="J1115" s="4">
        <f t="shared" si="17"/>
        <v>0.125</v>
      </c>
      <c r="K1115" t="s">
        <v>192</v>
      </c>
      <c r="M1115">
        <v>0</v>
      </c>
      <c r="N1115" s="6">
        <v>0</v>
      </c>
      <c r="Q1115" s="2" t="s">
        <v>19</v>
      </c>
    </row>
    <row r="1116" spans="1:17" ht="68" x14ac:dyDescent="0.2">
      <c r="A1116" t="s">
        <v>189</v>
      </c>
      <c r="B1116" t="s">
        <v>134</v>
      </c>
      <c r="C1116" t="s">
        <v>16</v>
      </c>
      <c r="D1116" s="3">
        <v>44239</v>
      </c>
      <c r="E1116" s="1">
        <v>44239.470648148148</v>
      </c>
      <c r="F1116" t="s">
        <v>17</v>
      </c>
      <c r="G1116" t="s">
        <v>24</v>
      </c>
      <c r="H1116" s="1">
        <v>44239.354166666664</v>
      </c>
      <c r="I1116" s="1">
        <v>44239.479166666664</v>
      </c>
      <c r="J1116" s="4">
        <f t="shared" si="17"/>
        <v>0.125</v>
      </c>
      <c r="K1116" t="s">
        <v>190</v>
      </c>
      <c r="M1116">
        <v>0</v>
      </c>
      <c r="N1116" s="5" t="s">
        <v>144</v>
      </c>
      <c r="Q1116" s="2" t="s">
        <v>19</v>
      </c>
    </row>
    <row r="1117" spans="1:17" ht="68" x14ac:dyDescent="0.2">
      <c r="A1117" t="s">
        <v>189</v>
      </c>
      <c r="B1117" t="s">
        <v>134</v>
      </c>
      <c r="C1117" t="s">
        <v>16</v>
      </c>
      <c r="D1117" s="3">
        <v>44239</v>
      </c>
      <c r="E1117" s="1">
        <v>44239.470671296294</v>
      </c>
      <c r="F1117" t="s">
        <v>17</v>
      </c>
      <c r="G1117" t="s">
        <v>24</v>
      </c>
      <c r="H1117" s="1">
        <v>44239.354166666664</v>
      </c>
      <c r="I1117" s="1">
        <v>44239.479166666664</v>
      </c>
      <c r="J1117" s="4">
        <f t="shared" si="17"/>
        <v>0.125</v>
      </c>
      <c r="K1117" t="s">
        <v>190</v>
      </c>
      <c r="M1117">
        <v>3</v>
      </c>
      <c r="N1117" s="6">
        <v>0</v>
      </c>
      <c r="Q1117" s="2" t="s">
        <v>19</v>
      </c>
    </row>
    <row r="1118" spans="1:17" ht="68" x14ac:dyDescent="0.2">
      <c r="A1118" t="s">
        <v>189</v>
      </c>
      <c r="B1118" t="s">
        <v>134</v>
      </c>
      <c r="C1118" t="s">
        <v>16</v>
      </c>
      <c r="D1118" s="3">
        <v>44242</v>
      </c>
      <c r="E1118" s="1">
        <v>44242.473564814813</v>
      </c>
      <c r="F1118" t="s">
        <v>17</v>
      </c>
      <c r="G1118" t="s">
        <v>20</v>
      </c>
      <c r="H1118" s="1">
        <v>44242.354166666664</v>
      </c>
      <c r="I1118" s="1">
        <v>44242.479166666664</v>
      </c>
      <c r="J1118" s="4">
        <f t="shared" si="17"/>
        <v>0.125</v>
      </c>
      <c r="K1118" t="s">
        <v>190</v>
      </c>
      <c r="M1118">
        <v>0</v>
      </c>
      <c r="N1118" s="5" t="s">
        <v>144</v>
      </c>
      <c r="Q1118" s="2" t="s">
        <v>19</v>
      </c>
    </row>
    <row r="1119" spans="1:17" ht="68" x14ac:dyDescent="0.2">
      <c r="A1119" t="s">
        <v>189</v>
      </c>
      <c r="B1119" t="s">
        <v>134</v>
      </c>
      <c r="C1119" t="s">
        <v>16</v>
      </c>
      <c r="D1119" s="3">
        <v>44243</v>
      </c>
      <c r="E1119" s="1">
        <v>44243.53502314815</v>
      </c>
      <c r="F1119" t="s">
        <v>17</v>
      </c>
      <c r="G1119" t="s">
        <v>20</v>
      </c>
      <c r="H1119" s="1">
        <v>44243.354166666664</v>
      </c>
      <c r="I1119" s="1">
        <v>44243.479166666664</v>
      </c>
      <c r="J1119" s="4">
        <f t="shared" si="17"/>
        <v>0.125</v>
      </c>
      <c r="K1119" t="s">
        <v>191</v>
      </c>
      <c r="M1119">
        <v>0</v>
      </c>
      <c r="N1119" s="6">
        <v>0</v>
      </c>
      <c r="Q1119" s="2" t="s">
        <v>19</v>
      </c>
    </row>
    <row r="1120" spans="1:17" ht="68" x14ac:dyDescent="0.2">
      <c r="A1120" t="s">
        <v>189</v>
      </c>
      <c r="B1120" t="s">
        <v>134</v>
      </c>
      <c r="C1120" t="s">
        <v>16</v>
      </c>
      <c r="D1120" s="3">
        <v>44243</v>
      </c>
      <c r="E1120" s="1">
        <v>44243.637025462966</v>
      </c>
      <c r="F1120" t="s">
        <v>17</v>
      </c>
      <c r="G1120" t="s">
        <v>25</v>
      </c>
      <c r="H1120" s="1">
        <v>44243.5625</v>
      </c>
      <c r="I1120" s="1">
        <v>44243.6875</v>
      </c>
      <c r="J1120" s="4">
        <f t="shared" si="17"/>
        <v>0.125</v>
      </c>
      <c r="K1120" t="s">
        <v>192</v>
      </c>
      <c r="M1120">
        <v>5</v>
      </c>
      <c r="N1120" s="6">
        <v>0</v>
      </c>
      <c r="Q1120" s="2" t="s">
        <v>19</v>
      </c>
    </row>
    <row r="1121" spans="1:17" ht="68" x14ac:dyDescent="0.2">
      <c r="A1121" t="s">
        <v>189</v>
      </c>
      <c r="B1121" t="s">
        <v>134</v>
      </c>
      <c r="C1121" t="s">
        <v>16</v>
      </c>
      <c r="D1121" s="3">
        <v>44244</v>
      </c>
      <c r="E1121" s="1">
        <v>44244.472037037034</v>
      </c>
      <c r="F1121" t="s">
        <v>17</v>
      </c>
      <c r="G1121" t="s">
        <v>26</v>
      </c>
      <c r="H1121" s="1">
        <v>44244.354166666664</v>
      </c>
      <c r="I1121" s="1">
        <v>44244.479166666664</v>
      </c>
      <c r="J1121" s="4">
        <f t="shared" si="17"/>
        <v>0.125</v>
      </c>
      <c r="K1121" t="s">
        <v>190</v>
      </c>
      <c r="M1121">
        <v>0</v>
      </c>
      <c r="N1121" s="5" t="s">
        <v>144</v>
      </c>
      <c r="Q1121" s="2" t="s">
        <v>19</v>
      </c>
    </row>
    <row r="1122" spans="1:17" ht="68" x14ac:dyDescent="0.2">
      <c r="A1122" t="s">
        <v>189</v>
      </c>
      <c r="B1122" t="s">
        <v>134</v>
      </c>
      <c r="C1122" t="s">
        <v>16</v>
      </c>
      <c r="D1122" s="3">
        <v>44245</v>
      </c>
      <c r="E1122" s="1">
        <v>44245.463229166664</v>
      </c>
      <c r="F1122" t="s">
        <v>17</v>
      </c>
      <c r="G1122" t="s">
        <v>27</v>
      </c>
      <c r="H1122" s="1">
        <v>44245.354166666664</v>
      </c>
      <c r="I1122" s="1">
        <v>44245.479166666664</v>
      </c>
      <c r="J1122" s="4">
        <f t="shared" si="17"/>
        <v>0.125</v>
      </c>
      <c r="K1122" t="s">
        <v>191</v>
      </c>
      <c r="M1122">
        <v>2</v>
      </c>
      <c r="N1122" s="6">
        <v>0</v>
      </c>
      <c r="Q1122" s="2" t="s">
        <v>19</v>
      </c>
    </row>
    <row r="1123" spans="1:17" ht="68" x14ac:dyDescent="0.2">
      <c r="A1123" t="s">
        <v>189</v>
      </c>
      <c r="B1123" t="s">
        <v>134</v>
      </c>
      <c r="C1123" t="s">
        <v>16</v>
      </c>
      <c r="D1123" s="3">
        <v>44245</v>
      </c>
      <c r="E1123" s="1">
        <v>44245.6325</v>
      </c>
      <c r="F1123" t="s">
        <v>17</v>
      </c>
      <c r="G1123" t="s">
        <v>28</v>
      </c>
      <c r="H1123" s="1">
        <v>44245.5625</v>
      </c>
      <c r="I1123" s="1">
        <v>44245.635416666664</v>
      </c>
      <c r="J1123" s="4">
        <f t="shared" si="17"/>
        <v>7.2916666664241347E-2</v>
      </c>
      <c r="K1123" t="s">
        <v>192</v>
      </c>
      <c r="M1123">
        <v>0</v>
      </c>
      <c r="N1123" s="6">
        <v>0</v>
      </c>
      <c r="Q1123" s="2" t="s">
        <v>19</v>
      </c>
    </row>
    <row r="1124" spans="1:17" ht="68" x14ac:dyDescent="0.2">
      <c r="A1124" t="s">
        <v>189</v>
      </c>
      <c r="B1124" t="s">
        <v>134</v>
      </c>
      <c r="C1124" t="s">
        <v>16</v>
      </c>
      <c r="D1124" s="3">
        <v>44246</v>
      </c>
      <c r="E1124" s="1">
        <v>44246.472708333335</v>
      </c>
      <c r="F1124" t="s">
        <v>17</v>
      </c>
      <c r="G1124" t="s">
        <v>24</v>
      </c>
      <c r="H1124" s="1">
        <v>44246.354166666664</v>
      </c>
      <c r="I1124" s="1">
        <v>44246.479166666664</v>
      </c>
      <c r="J1124" s="4">
        <f t="shared" si="17"/>
        <v>0.125</v>
      </c>
      <c r="K1124" t="s">
        <v>190</v>
      </c>
      <c r="M1124">
        <v>1</v>
      </c>
      <c r="N1124" s="6">
        <v>0</v>
      </c>
      <c r="Q1124" s="2" t="s">
        <v>19</v>
      </c>
    </row>
    <row r="1125" spans="1:17" ht="68" x14ac:dyDescent="0.2">
      <c r="A1125" t="s">
        <v>189</v>
      </c>
      <c r="B1125" t="s">
        <v>134</v>
      </c>
      <c r="C1125" t="s">
        <v>16</v>
      </c>
      <c r="D1125" s="3">
        <v>44249</v>
      </c>
      <c r="E1125" s="1">
        <v>44249.477349537039</v>
      </c>
      <c r="F1125" t="s">
        <v>17</v>
      </c>
      <c r="G1125" t="s">
        <v>29</v>
      </c>
      <c r="H1125" s="1">
        <v>44249.354166666664</v>
      </c>
      <c r="I1125" s="1">
        <v>44249.479166666664</v>
      </c>
      <c r="J1125" s="4">
        <f t="shared" si="17"/>
        <v>0.125</v>
      </c>
      <c r="K1125" t="s">
        <v>190</v>
      </c>
      <c r="M1125">
        <v>0</v>
      </c>
      <c r="N1125" s="5" t="s">
        <v>144</v>
      </c>
      <c r="Q1125" s="2" t="s">
        <v>19</v>
      </c>
    </row>
    <row r="1126" spans="1:17" ht="68" x14ac:dyDescent="0.2">
      <c r="A1126" t="s">
        <v>189</v>
      </c>
      <c r="B1126" t="s">
        <v>134</v>
      </c>
      <c r="C1126" t="s">
        <v>16</v>
      </c>
      <c r="D1126" s="3">
        <v>44250</v>
      </c>
      <c r="E1126" s="1">
        <v>44250.468784722223</v>
      </c>
      <c r="F1126" t="s">
        <v>17</v>
      </c>
      <c r="G1126" t="s">
        <v>20</v>
      </c>
      <c r="H1126" s="1">
        <v>44250.354166666664</v>
      </c>
      <c r="I1126" s="1">
        <v>44250.479166666664</v>
      </c>
      <c r="J1126" s="4">
        <f t="shared" si="17"/>
        <v>0.125</v>
      </c>
      <c r="K1126" t="s">
        <v>191</v>
      </c>
      <c r="M1126">
        <v>0</v>
      </c>
      <c r="N1126" s="6">
        <v>0</v>
      </c>
      <c r="Q1126" s="2" t="s">
        <v>19</v>
      </c>
    </row>
    <row r="1127" spans="1:17" ht="68" x14ac:dyDescent="0.2">
      <c r="A1127" t="s">
        <v>189</v>
      </c>
      <c r="B1127" t="s">
        <v>134</v>
      </c>
      <c r="C1127" t="s">
        <v>16</v>
      </c>
      <c r="D1127" s="3">
        <v>44250</v>
      </c>
      <c r="E1127" s="1">
        <v>44250.683425925927</v>
      </c>
      <c r="F1127" t="s">
        <v>17</v>
      </c>
      <c r="G1127" t="s">
        <v>30</v>
      </c>
      <c r="H1127" s="1">
        <v>44250.5625</v>
      </c>
      <c r="I1127" s="1">
        <v>44250.6875</v>
      </c>
      <c r="J1127" s="4">
        <f t="shared" si="17"/>
        <v>0.125</v>
      </c>
      <c r="K1127" t="s">
        <v>192</v>
      </c>
      <c r="M1127">
        <v>3</v>
      </c>
      <c r="N1127" s="6">
        <v>0</v>
      </c>
      <c r="Q1127" s="2" t="s">
        <v>19</v>
      </c>
    </row>
    <row r="1128" spans="1:17" ht="68" x14ac:dyDescent="0.2">
      <c r="A1128" t="s">
        <v>189</v>
      </c>
      <c r="B1128" t="s">
        <v>134</v>
      </c>
      <c r="C1128" t="s">
        <v>16</v>
      </c>
      <c r="D1128" s="3">
        <v>44251</v>
      </c>
      <c r="E1128" s="1">
        <v>44251.473668981482</v>
      </c>
      <c r="F1128" t="s">
        <v>17</v>
      </c>
      <c r="G1128" t="s">
        <v>31</v>
      </c>
      <c r="H1128" s="1">
        <v>44251.354166666664</v>
      </c>
      <c r="I1128" s="1">
        <v>44251.479166666664</v>
      </c>
      <c r="J1128" s="4">
        <f t="shared" si="17"/>
        <v>0.125</v>
      </c>
      <c r="K1128" t="s">
        <v>190</v>
      </c>
      <c r="M1128">
        <v>0</v>
      </c>
      <c r="N1128" s="5" t="s">
        <v>144</v>
      </c>
      <c r="Q1128" s="2" t="s">
        <v>19</v>
      </c>
    </row>
    <row r="1129" spans="1:17" ht="119" x14ac:dyDescent="0.2">
      <c r="A1129" t="s">
        <v>189</v>
      </c>
      <c r="B1129" t="s">
        <v>134</v>
      </c>
      <c r="C1129" t="s">
        <v>16</v>
      </c>
      <c r="D1129" s="3">
        <v>44252</v>
      </c>
      <c r="E1129" s="1">
        <v>44252.381458333337</v>
      </c>
      <c r="F1129" t="s">
        <v>17</v>
      </c>
      <c r="G1129" t="s">
        <v>27</v>
      </c>
      <c r="H1129" s="1">
        <v>44252.354166666664</v>
      </c>
      <c r="I1129" s="1">
        <v>44252.479166666664</v>
      </c>
      <c r="J1129" s="4">
        <f t="shared" si="17"/>
        <v>0.125</v>
      </c>
      <c r="K1129" t="s">
        <v>191</v>
      </c>
      <c r="M1129">
        <v>1</v>
      </c>
      <c r="N1129" s="6">
        <v>0</v>
      </c>
      <c r="O1129" t="s">
        <v>102</v>
      </c>
      <c r="P1129" t="s">
        <v>89</v>
      </c>
      <c r="Q1129" s="2" t="s">
        <v>135</v>
      </c>
    </row>
    <row r="1130" spans="1:17" ht="68" x14ac:dyDescent="0.2">
      <c r="A1130" t="s">
        <v>189</v>
      </c>
      <c r="B1130" t="s">
        <v>134</v>
      </c>
      <c r="C1130" t="s">
        <v>16</v>
      </c>
      <c r="D1130" s="3">
        <v>44252</v>
      </c>
      <c r="E1130" s="1">
        <v>44252.471979166665</v>
      </c>
      <c r="F1130" t="s">
        <v>17</v>
      </c>
      <c r="G1130" t="s">
        <v>27</v>
      </c>
      <c r="H1130" s="1">
        <v>44252.354166666664</v>
      </c>
      <c r="I1130" s="1">
        <v>44252.479166666664</v>
      </c>
      <c r="J1130" s="4">
        <f t="shared" si="17"/>
        <v>0.125</v>
      </c>
      <c r="K1130" t="s">
        <v>191</v>
      </c>
      <c r="M1130">
        <v>0</v>
      </c>
      <c r="N1130" s="6">
        <v>0</v>
      </c>
      <c r="Q1130" s="2" t="s">
        <v>19</v>
      </c>
    </row>
    <row r="1131" spans="1:17" ht="68" x14ac:dyDescent="0.2">
      <c r="A1131" t="s">
        <v>189</v>
      </c>
      <c r="B1131" t="s">
        <v>134</v>
      </c>
      <c r="C1131" t="s">
        <v>16</v>
      </c>
      <c r="D1131" s="3">
        <v>44252</v>
      </c>
      <c r="E1131" s="1">
        <v>44252.684675925928</v>
      </c>
      <c r="F1131" t="s">
        <v>17</v>
      </c>
      <c r="G1131" t="s">
        <v>23</v>
      </c>
      <c r="H1131" s="1">
        <v>44252.5625</v>
      </c>
      <c r="I1131" s="1">
        <v>44252.6875</v>
      </c>
      <c r="J1131" s="4">
        <f t="shared" si="17"/>
        <v>0.125</v>
      </c>
      <c r="K1131" t="s">
        <v>192</v>
      </c>
      <c r="M1131">
        <v>0</v>
      </c>
      <c r="N1131" s="6">
        <v>0</v>
      </c>
      <c r="Q1131" s="2" t="s">
        <v>19</v>
      </c>
    </row>
    <row r="1132" spans="1:17" ht="68" x14ac:dyDescent="0.2">
      <c r="A1132" t="s">
        <v>189</v>
      </c>
      <c r="B1132" t="s">
        <v>134</v>
      </c>
      <c r="C1132" t="s">
        <v>16</v>
      </c>
      <c r="D1132" s="3">
        <v>44253</v>
      </c>
      <c r="E1132" s="1">
        <v>44253.473425925928</v>
      </c>
      <c r="F1132" t="s">
        <v>17</v>
      </c>
      <c r="G1132" t="s">
        <v>24</v>
      </c>
      <c r="H1132" s="1">
        <v>44253.354166666664</v>
      </c>
      <c r="I1132" s="1">
        <v>44253.479166666664</v>
      </c>
      <c r="J1132" s="4">
        <f t="shared" si="17"/>
        <v>0.125</v>
      </c>
      <c r="K1132" t="s">
        <v>190</v>
      </c>
      <c r="M1132">
        <v>0</v>
      </c>
      <c r="N1132" s="5" t="s">
        <v>144</v>
      </c>
      <c r="Q1132" s="2" t="s">
        <v>19</v>
      </c>
    </row>
    <row r="1133" spans="1:17" ht="68" x14ac:dyDescent="0.2">
      <c r="A1133" t="s">
        <v>189</v>
      </c>
      <c r="B1133" t="s">
        <v>134</v>
      </c>
      <c r="C1133" t="s">
        <v>16</v>
      </c>
      <c r="D1133" s="3">
        <v>44256</v>
      </c>
      <c r="E1133" s="1">
        <v>44256.46875</v>
      </c>
      <c r="F1133" t="s">
        <v>17</v>
      </c>
      <c r="G1133" t="s">
        <v>26</v>
      </c>
      <c r="H1133" s="1">
        <v>44256.354166666664</v>
      </c>
      <c r="I1133" s="1">
        <v>44256.479166666664</v>
      </c>
      <c r="J1133" s="4">
        <f t="shared" si="17"/>
        <v>0.125</v>
      </c>
      <c r="K1133" t="s">
        <v>190</v>
      </c>
      <c r="M1133">
        <v>0</v>
      </c>
      <c r="N1133" s="6">
        <v>0</v>
      </c>
      <c r="Q1133" s="2" t="s">
        <v>19</v>
      </c>
    </row>
    <row r="1134" spans="1:17" ht="68" x14ac:dyDescent="0.2">
      <c r="A1134" t="s">
        <v>189</v>
      </c>
      <c r="B1134" t="s">
        <v>134</v>
      </c>
      <c r="C1134" t="s">
        <v>16</v>
      </c>
      <c r="D1134" s="3">
        <v>44257</v>
      </c>
      <c r="E1134" s="1">
        <v>44257.47011574074</v>
      </c>
      <c r="F1134" t="s">
        <v>17</v>
      </c>
      <c r="G1134" t="s">
        <v>32</v>
      </c>
      <c r="H1134" s="1">
        <v>44257.354166666664</v>
      </c>
      <c r="I1134" s="1">
        <v>44257.479166666664</v>
      </c>
      <c r="J1134" s="4">
        <f t="shared" si="17"/>
        <v>0.125</v>
      </c>
      <c r="K1134" t="s">
        <v>191</v>
      </c>
      <c r="M1134">
        <v>0</v>
      </c>
      <c r="N1134" s="6">
        <v>0</v>
      </c>
      <c r="Q1134" s="2" t="s">
        <v>19</v>
      </c>
    </row>
    <row r="1135" spans="1:17" ht="68" x14ac:dyDescent="0.2">
      <c r="A1135" t="s">
        <v>189</v>
      </c>
      <c r="B1135" t="s">
        <v>134</v>
      </c>
      <c r="C1135" t="s">
        <v>16</v>
      </c>
      <c r="D1135" s="3">
        <v>44257</v>
      </c>
      <c r="E1135" s="1">
        <v>44257.682812500003</v>
      </c>
      <c r="F1135" t="s">
        <v>17</v>
      </c>
      <c r="G1135" t="s">
        <v>33</v>
      </c>
      <c r="H1135" s="1">
        <v>44257.5625</v>
      </c>
      <c r="I1135" s="1">
        <v>44257.6875</v>
      </c>
      <c r="J1135" s="4">
        <f t="shared" si="17"/>
        <v>0.125</v>
      </c>
      <c r="K1135" t="s">
        <v>192</v>
      </c>
      <c r="M1135">
        <v>0</v>
      </c>
      <c r="N1135" s="6">
        <v>0</v>
      </c>
      <c r="Q1135" s="2" t="s">
        <v>19</v>
      </c>
    </row>
    <row r="1136" spans="1:17" ht="68" x14ac:dyDescent="0.2">
      <c r="A1136" t="s">
        <v>189</v>
      </c>
      <c r="B1136" t="s">
        <v>134</v>
      </c>
      <c r="C1136" t="s">
        <v>16</v>
      </c>
      <c r="D1136" s="3">
        <v>44258</v>
      </c>
      <c r="E1136" s="1">
        <v>44258.473333333335</v>
      </c>
      <c r="F1136" t="s">
        <v>17</v>
      </c>
      <c r="G1136" t="s">
        <v>31</v>
      </c>
      <c r="H1136" s="1">
        <v>44258.354166666664</v>
      </c>
      <c r="I1136" s="1">
        <v>44258.458333333336</v>
      </c>
      <c r="J1136" s="4">
        <f t="shared" si="17"/>
        <v>0.10416666667151731</v>
      </c>
      <c r="K1136" t="s">
        <v>190</v>
      </c>
      <c r="M1136">
        <v>0</v>
      </c>
      <c r="N1136" s="5" t="s">
        <v>144</v>
      </c>
      <c r="Q1136" s="2" t="s">
        <v>19</v>
      </c>
    </row>
    <row r="1137" spans="1:17" ht="68" x14ac:dyDescent="0.2">
      <c r="A1137" t="s">
        <v>189</v>
      </c>
      <c r="B1137" t="s">
        <v>134</v>
      </c>
      <c r="C1137" t="s">
        <v>16</v>
      </c>
      <c r="D1137" s="3">
        <v>44259</v>
      </c>
      <c r="E1137" s="1">
        <v>44259.47347222222</v>
      </c>
      <c r="F1137" t="s">
        <v>17</v>
      </c>
      <c r="G1137" t="s">
        <v>24</v>
      </c>
      <c r="H1137" s="1">
        <v>44259.354166666664</v>
      </c>
      <c r="I1137" s="1">
        <v>44259.479166666664</v>
      </c>
      <c r="J1137" s="4">
        <f t="shared" si="17"/>
        <v>0.125</v>
      </c>
      <c r="K1137" t="s">
        <v>191</v>
      </c>
      <c r="M1137">
        <v>0</v>
      </c>
      <c r="N1137" s="6">
        <v>0</v>
      </c>
      <c r="Q1137" s="2" t="s">
        <v>19</v>
      </c>
    </row>
    <row r="1138" spans="1:17" ht="68" x14ac:dyDescent="0.2">
      <c r="A1138" t="s">
        <v>189</v>
      </c>
      <c r="B1138" t="s">
        <v>134</v>
      </c>
      <c r="C1138" t="s">
        <v>16</v>
      </c>
      <c r="D1138" s="3">
        <v>44259</v>
      </c>
      <c r="E1138" s="1">
        <v>44259.628182870372</v>
      </c>
      <c r="F1138" t="s">
        <v>17</v>
      </c>
      <c r="G1138" t="s">
        <v>25</v>
      </c>
      <c r="H1138" s="1">
        <v>44259.5625</v>
      </c>
      <c r="I1138" s="1">
        <v>44259.625</v>
      </c>
      <c r="J1138" s="4">
        <f t="shared" si="17"/>
        <v>6.25E-2</v>
      </c>
      <c r="K1138" t="s">
        <v>192</v>
      </c>
      <c r="M1138">
        <v>0</v>
      </c>
      <c r="N1138" s="6">
        <v>0</v>
      </c>
      <c r="Q1138" s="2" t="s">
        <v>19</v>
      </c>
    </row>
    <row r="1139" spans="1:17" ht="68" x14ac:dyDescent="0.2">
      <c r="A1139" t="s">
        <v>189</v>
      </c>
      <c r="B1139" t="s">
        <v>134</v>
      </c>
      <c r="C1139" t="s">
        <v>16</v>
      </c>
      <c r="D1139" s="3">
        <v>44260</v>
      </c>
      <c r="E1139" s="1">
        <v>44260.467453703706</v>
      </c>
      <c r="F1139" t="s">
        <v>17</v>
      </c>
      <c r="G1139" t="s">
        <v>31</v>
      </c>
      <c r="H1139" s="1">
        <v>44260.354166666664</v>
      </c>
      <c r="I1139" s="1">
        <v>44260.479166666664</v>
      </c>
      <c r="J1139" s="4">
        <f t="shared" si="17"/>
        <v>0.125</v>
      </c>
      <c r="K1139" t="s">
        <v>190</v>
      </c>
      <c r="M1139">
        <v>2</v>
      </c>
      <c r="N1139" s="6">
        <v>0</v>
      </c>
      <c r="Q1139" s="2" t="s">
        <v>19</v>
      </c>
    </row>
    <row r="1140" spans="1:17" ht="68" x14ac:dyDescent="0.2">
      <c r="A1140" t="s">
        <v>189</v>
      </c>
      <c r="B1140" t="s">
        <v>134</v>
      </c>
      <c r="C1140" t="s">
        <v>16</v>
      </c>
      <c r="D1140" s="3">
        <v>44264</v>
      </c>
      <c r="E1140" s="1">
        <v>44264.475370370368</v>
      </c>
      <c r="F1140" t="s">
        <v>17</v>
      </c>
      <c r="G1140" t="s">
        <v>24</v>
      </c>
      <c r="H1140" s="1">
        <v>44264.354166666664</v>
      </c>
      <c r="I1140" s="1">
        <v>44264.479166666664</v>
      </c>
      <c r="J1140" s="4">
        <f t="shared" si="17"/>
        <v>0.125</v>
      </c>
      <c r="K1140" t="s">
        <v>191</v>
      </c>
      <c r="M1140">
        <v>0</v>
      </c>
      <c r="N1140" s="6">
        <v>0</v>
      </c>
      <c r="Q1140" s="2" t="s">
        <v>19</v>
      </c>
    </row>
    <row r="1141" spans="1:17" ht="68" x14ac:dyDescent="0.2">
      <c r="A1141" t="s">
        <v>189</v>
      </c>
      <c r="B1141" t="s">
        <v>134</v>
      </c>
      <c r="C1141" t="s">
        <v>16</v>
      </c>
      <c r="D1141" s="3">
        <v>44264</v>
      </c>
      <c r="E1141" s="1">
        <v>44264.687152777777</v>
      </c>
      <c r="F1141" t="s">
        <v>17</v>
      </c>
      <c r="G1141" t="s">
        <v>34</v>
      </c>
      <c r="H1141" s="1">
        <v>44264.5625</v>
      </c>
      <c r="I1141" s="1">
        <v>44264.6875</v>
      </c>
      <c r="J1141" s="4">
        <f t="shared" si="17"/>
        <v>0.125</v>
      </c>
      <c r="K1141" t="s">
        <v>192</v>
      </c>
      <c r="M1141">
        <v>0</v>
      </c>
      <c r="N1141" s="6">
        <v>0</v>
      </c>
      <c r="Q1141" s="2" t="s">
        <v>19</v>
      </c>
    </row>
    <row r="1142" spans="1:17" ht="68" x14ac:dyDescent="0.2">
      <c r="A1142" t="s">
        <v>189</v>
      </c>
      <c r="B1142" t="s">
        <v>134</v>
      </c>
      <c r="C1142" t="s">
        <v>16</v>
      </c>
      <c r="D1142" s="3">
        <v>44265</v>
      </c>
      <c r="E1142" s="1">
        <v>44265.473738425928</v>
      </c>
      <c r="F1142" t="s">
        <v>17</v>
      </c>
      <c r="G1142" t="s">
        <v>24</v>
      </c>
      <c r="H1142" s="1">
        <v>44265.354166666664</v>
      </c>
      <c r="I1142" s="1">
        <v>44265.479166666664</v>
      </c>
      <c r="J1142" s="4">
        <f t="shared" si="17"/>
        <v>0.125</v>
      </c>
      <c r="K1142" t="s">
        <v>190</v>
      </c>
      <c r="M1142">
        <v>3</v>
      </c>
      <c r="N1142" s="6">
        <v>0</v>
      </c>
      <c r="Q1142" s="2" t="s">
        <v>19</v>
      </c>
    </row>
    <row r="1143" spans="1:17" ht="68" x14ac:dyDescent="0.2">
      <c r="A1143" t="s">
        <v>189</v>
      </c>
      <c r="B1143" t="s">
        <v>134</v>
      </c>
      <c r="C1143" t="s">
        <v>16</v>
      </c>
      <c r="D1143" s="3">
        <v>44266</v>
      </c>
      <c r="E1143" s="1">
        <v>44266.664618055554</v>
      </c>
      <c r="F1143" t="s">
        <v>17</v>
      </c>
      <c r="G1143" t="s">
        <v>35</v>
      </c>
      <c r="H1143" s="1">
        <v>44266.53125</v>
      </c>
      <c r="I1143" s="1">
        <v>44266.666666666664</v>
      </c>
      <c r="J1143" s="4">
        <f t="shared" si="17"/>
        <v>0.13541666666424135</v>
      </c>
      <c r="K1143" t="s">
        <v>192</v>
      </c>
      <c r="M1143">
        <v>1</v>
      </c>
      <c r="N1143" s="6">
        <v>0</v>
      </c>
      <c r="Q1143" s="2" t="s">
        <v>19</v>
      </c>
    </row>
    <row r="1144" spans="1:17" ht="68" x14ac:dyDescent="0.2">
      <c r="A1144" t="s">
        <v>189</v>
      </c>
      <c r="B1144" t="s">
        <v>134</v>
      </c>
      <c r="C1144" t="s">
        <v>16</v>
      </c>
      <c r="D1144" s="3">
        <v>44270</v>
      </c>
      <c r="E1144" s="1">
        <v>44270.472222222219</v>
      </c>
      <c r="F1144" t="s">
        <v>17</v>
      </c>
      <c r="G1144" t="s">
        <v>24</v>
      </c>
      <c r="H1144" s="1">
        <v>44270.354166666664</v>
      </c>
      <c r="I1144" s="1">
        <v>44270.479166666664</v>
      </c>
      <c r="J1144" s="4">
        <f t="shared" si="17"/>
        <v>0.125</v>
      </c>
      <c r="K1144" t="s">
        <v>190</v>
      </c>
      <c r="M1144">
        <v>3</v>
      </c>
      <c r="N1144" s="6">
        <v>0</v>
      </c>
      <c r="Q1144" s="2" t="s">
        <v>19</v>
      </c>
    </row>
    <row r="1145" spans="1:17" ht="68" x14ac:dyDescent="0.2">
      <c r="A1145" t="s">
        <v>189</v>
      </c>
      <c r="B1145" t="s">
        <v>134</v>
      </c>
      <c r="C1145" t="s">
        <v>16</v>
      </c>
      <c r="D1145" s="3">
        <v>44271</v>
      </c>
      <c r="E1145" s="1">
        <v>44271.407175925924</v>
      </c>
      <c r="F1145" t="s">
        <v>17</v>
      </c>
      <c r="G1145" t="s">
        <v>36</v>
      </c>
      <c r="H1145" s="1">
        <v>44271.375</v>
      </c>
      <c r="I1145" s="1">
        <v>44271.489583333336</v>
      </c>
      <c r="J1145" s="4">
        <f t="shared" si="17"/>
        <v>0.11458333333575865</v>
      </c>
      <c r="K1145" t="s">
        <v>192</v>
      </c>
      <c r="M1145">
        <v>1</v>
      </c>
      <c r="N1145" s="6">
        <v>0</v>
      </c>
      <c r="Q1145" s="2" t="s">
        <v>19</v>
      </c>
    </row>
    <row r="1146" spans="1:17" ht="68" x14ac:dyDescent="0.2">
      <c r="A1146" t="s">
        <v>189</v>
      </c>
      <c r="B1146" t="s">
        <v>134</v>
      </c>
      <c r="C1146" t="s">
        <v>16</v>
      </c>
      <c r="D1146" s="3">
        <v>44271</v>
      </c>
      <c r="E1146" s="1">
        <v>44271.567696759259</v>
      </c>
      <c r="F1146" t="s">
        <v>17</v>
      </c>
      <c r="G1146" t="s">
        <v>37</v>
      </c>
      <c r="H1146" s="1">
        <v>44271.53125</v>
      </c>
      <c r="I1146" s="1">
        <v>44271.635416666664</v>
      </c>
      <c r="J1146" s="4">
        <f t="shared" si="17"/>
        <v>0.10416666666424135</v>
      </c>
      <c r="K1146" t="s">
        <v>192</v>
      </c>
      <c r="M1146">
        <v>1</v>
      </c>
      <c r="N1146" s="6">
        <v>0</v>
      </c>
      <c r="Q1146" s="2" t="s">
        <v>19</v>
      </c>
    </row>
    <row r="1147" spans="1:17" ht="68" x14ac:dyDescent="0.2">
      <c r="A1147" t="s">
        <v>189</v>
      </c>
      <c r="B1147" t="s">
        <v>134</v>
      </c>
      <c r="C1147" t="s">
        <v>16</v>
      </c>
      <c r="D1147" s="3">
        <v>44272</v>
      </c>
      <c r="E1147" s="1">
        <v>44272.476157407407</v>
      </c>
      <c r="F1147" t="s">
        <v>17</v>
      </c>
      <c r="G1147" t="s">
        <v>38</v>
      </c>
      <c r="H1147" s="1">
        <v>44272.354166666664</v>
      </c>
      <c r="I1147" s="1">
        <v>44272.479166666664</v>
      </c>
      <c r="J1147" s="4">
        <f t="shared" si="17"/>
        <v>0.125</v>
      </c>
      <c r="K1147" t="s">
        <v>190</v>
      </c>
      <c r="M1147">
        <v>0</v>
      </c>
      <c r="N1147" s="5" t="s">
        <v>144</v>
      </c>
      <c r="Q1147" s="2" t="s">
        <v>19</v>
      </c>
    </row>
    <row r="1148" spans="1:17" ht="68" x14ac:dyDescent="0.2">
      <c r="A1148" t="s">
        <v>189</v>
      </c>
      <c r="B1148" t="s">
        <v>134</v>
      </c>
      <c r="C1148" t="s">
        <v>16</v>
      </c>
      <c r="D1148" s="3">
        <v>44273</v>
      </c>
      <c r="E1148" s="1">
        <v>44273.494247685187</v>
      </c>
      <c r="F1148" t="s">
        <v>17</v>
      </c>
      <c r="G1148" t="s">
        <v>39</v>
      </c>
      <c r="H1148" s="1">
        <v>44273.375</v>
      </c>
      <c r="I1148" s="1">
        <v>44273.489583333336</v>
      </c>
      <c r="J1148" s="4">
        <f t="shared" si="17"/>
        <v>0.11458333333575865</v>
      </c>
      <c r="K1148" t="s">
        <v>192</v>
      </c>
      <c r="M1148">
        <v>0</v>
      </c>
      <c r="N1148" s="6">
        <v>0</v>
      </c>
      <c r="Q1148" s="2" t="s">
        <v>19</v>
      </c>
    </row>
    <row r="1149" spans="1:17" ht="68" x14ac:dyDescent="0.2">
      <c r="A1149" t="s">
        <v>189</v>
      </c>
      <c r="B1149" t="s">
        <v>134</v>
      </c>
      <c r="C1149" t="s">
        <v>16</v>
      </c>
      <c r="D1149" s="3">
        <v>44273</v>
      </c>
      <c r="E1149" s="1">
        <v>44273.664872685185</v>
      </c>
      <c r="F1149" t="s">
        <v>17</v>
      </c>
      <c r="G1149" t="s">
        <v>40</v>
      </c>
      <c r="H1149" s="1">
        <v>44273.53125</v>
      </c>
      <c r="I1149" s="1">
        <v>44273.666666666664</v>
      </c>
      <c r="J1149" s="4">
        <f t="shared" si="17"/>
        <v>0.13541666666424135</v>
      </c>
      <c r="K1149" t="s">
        <v>192</v>
      </c>
      <c r="M1149">
        <v>4</v>
      </c>
      <c r="N1149" s="6">
        <v>0</v>
      </c>
      <c r="Q1149" s="2" t="s">
        <v>19</v>
      </c>
    </row>
    <row r="1150" spans="1:17" ht="68" x14ac:dyDescent="0.2">
      <c r="A1150" t="s">
        <v>189</v>
      </c>
      <c r="B1150" t="s">
        <v>134</v>
      </c>
      <c r="C1150" t="s">
        <v>16</v>
      </c>
      <c r="D1150" s="3">
        <v>44279</v>
      </c>
      <c r="E1150" s="1">
        <v>44279.473807870374</v>
      </c>
      <c r="F1150" t="s">
        <v>17</v>
      </c>
      <c r="G1150" t="s">
        <v>41</v>
      </c>
      <c r="H1150" s="1">
        <v>44279.354166666664</v>
      </c>
      <c r="I1150" s="1">
        <v>44279.479166666664</v>
      </c>
      <c r="J1150" s="4">
        <f t="shared" si="17"/>
        <v>0.125</v>
      </c>
      <c r="K1150" t="s">
        <v>190</v>
      </c>
      <c r="M1150">
        <v>0</v>
      </c>
      <c r="N1150" s="5" t="s">
        <v>144</v>
      </c>
      <c r="Q1150" s="2" t="s">
        <v>19</v>
      </c>
    </row>
    <row r="1151" spans="1:17" ht="68" x14ac:dyDescent="0.2">
      <c r="A1151" t="s">
        <v>189</v>
      </c>
      <c r="B1151" t="s">
        <v>134</v>
      </c>
      <c r="C1151" t="s">
        <v>16</v>
      </c>
      <c r="D1151" s="3">
        <v>44281</v>
      </c>
      <c r="E1151" s="1">
        <v>44281.475636574076</v>
      </c>
      <c r="F1151" t="s">
        <v>17</v>
      </c>
      <c r="G1151" t="s">
        <v>38</v>
      </c>
      <c r="H1151" s="1">
        <v>44281.354166666664</v>
      </c>
      <c r="I1151" s="1">
        <v>44281.479166666664</v>
      </c>
      <c r="J1151" s="4">
        <f t="shared" si="17"/>
        <v>0.125</v>
      </c>
      <c r="K1151" t="s">
        <v>190</v>
      </c>
      <c r="M1151">
        <v>0</v>
      </c>
      <c r="N1151" s="5" t="s">
        <v>144</v>
      </c>
      <c r="Q1151" s="2" t="s">
        <v>19</v>
      </c>
    </row>
    <row r="1152" spans="1:17" ht="68" x14ac:dyDescent="0.2">
      <c r="A1152" t="s">
        <v>189</v>
      </c>
      <c r="B1152" t="s">
        <v>134</v>
      </c>
      <c r="C1152" t="s">
        <v>16</v>
      </c>
      <c r="D1152" s="3">
        <v>44284</v>
      </c>
      <c r="E1152" s="1">
        <v>44284.472800925927</v>
      </c>
      <c r="F1152" t="s">
        <v>17</v>
      </c>
      <c r="G1152" t="s">
        <v>38</v>
      </c>
      <c r="H1152" s="1">
        <v>44284.354166666664</v>
      </c>
      <c r="I1152" s="1">
        <v>44284.479166666664</v>
      </c>
      <c r="J1152" s="4">
        <f t="shared" si="17"/>
        <v>0.125</v>
      </c>
      <c r="K1152" t="s">
        <v>190</v>
      </c>
      <c r="M1152">
        <v>0</v>
      </c>
      <c r="N1152" s="5" t="s">
        <v>144</v>
      </c>
      <c r="Q1152" s="2" t="s">
        <v>19</v>
      </c>
    </row>
    <row r="1153" spans="1:17" ht="68" x14ac:dyDescent="0.2">
      <c r="A1153" t="s">
        <v>189</v>
      </c>
      <c r="B1153" t="s">
        <v>134</v>
      </c>
      <c r="C1153" t="s">
        <v>16</v>
      </c>
      <c r="D1153" s="3">
        <v>44285</v>
      </c>
      <c r="E1153" s="1">
        <v>44285.494571759256</v>
      </c>
      <c r="F1153" t="s">
        <v>17</v>
      </c>
      <c r="G1153" t="s">
        <v>29</v>
      </c>
      <c r="H1153" s="1">
        <v>44285.375</v>
      </c>
      <c r="I1153" s="1">
        <v>44285.489583333336</v>
      </c>
      <c r="J1153" s="4">
        <f t="shared" si="17"/>
        <v>0.11458333333575865</v>
      </c>
      <c r="K1153" t="s">
        <v>192</v>
      </c>
      <c r="M1153">
        <v>1</v>
      </c>
      <c r="N1153" s="6">
        <v>0</v>
      </c>
      <c r="Q1153" s="2" t="s">
        <v>19</v>
      </c>
    </row>
    <row r="1154" spans="1:17" ht="68" x14ac:dyDescent="0.2">
      <c r="A1154" t="s">
        <v>189</v>
      </c>
      <c r="B1154" t="s">
        <v>134</v>
      </c>
      <c r="C1154" t="s">
        <v>16</v>
      </c>
      <c r="D1154" s="3">
        <v>44285</v>
      </c>
      <c r="E1154" s="1">
        <v>44285.667604166665</v>
      </c>
      <c r="F1154" t="s">
        <v>17</v>
      </c>
      <c r="G1154" t="s">
        <v>42</v>
      </c>
      <c r="H1154" s="1">
        <v>44285.53125</v>
      </c>
      <c r="I1154" s="1">
        <v>44285.666666666664</v>
      </c>
      <c r="J1154" s="4">
        <f t="shared" si="17"/>
        <v>0.13541666666424135</v>
      </c>
      <c r="K1154" t="s">
        <v>192</v>
      </c>
      <c r="M1154">
        <v>0</v>
      </c>
      <c r="N1154" s="6">
        <v>0</v>
      </c>
      <c r="Q1154" s="2" t="s">
        <v>19</v>
      </c>
    </row>
    <row r="1155" spans="1:17" ht="68" x14ac:dyDescent="0.2">
      <c r="A1155" t="s">
        <v>189</v>
      </c>
      <c r="B1155" t="s">
        <v>134</v>
      </c>
      <c r="C1155" t="s">
        <v>16</v>
      </c>
      <c r="D1155" s="3">
        <v>44286</v>
      </c>
      <c r="E1155" s="1">
        <v>44286.472060185188</v>
      </c>
      <c r="F1155" t="s">
        <v>17</v>
      </c>
      <c r="G1155" t="s">
        <v>31</v>
      </c>
      <c r="H1155" s="1">
        <v>44286.354166666664</v>
      </c>
      <c r="I1155" s="1">
        <v>44286.479166666664</v>
      </c>
      <c r="J1155" s="4">
        <f t="shared" ref="J1155:J1218" si="18">IF($I1155="","",$I1155-$H1155)</f>
        <v>0.125</v>
      </c>
      <c r="K1155" t="s">
        <v>190</v>
      </c>
      <c r="M1155">
        <v>1</v>
      </c>
      <c r="N1155" s="6">
        <v>0</v>
      </c>
      <c r="Q1155" s="2" t="s">
        <v>19</v>
      </c>
    </row>
    <row r="1156" spans="1:17" ht="68" x14ac:dyDescent="0.2">
      <c r="A1156" t="s">
        <v>189</v>
      </c>
      <c r="B1156" t="s">
        <v>134</v>
      </c>
      <c r="C1156" t="s">
        <v>16</v>
      </c>
      <c r="D1156" s="3">
        <v>44286</v>
      </c>
      <c r="E1156" s="1">
        <v>44286.472071759257</v>
      </c>
      <c r="F1156" t="s">
        <v>17</v>
      </c>
      <c r="G1156" t="s">
        <v>31</v>
      </c>
      <c r="H1156" s="1">
        <v>44286.354166666664</v>
      </c>
      <c r="I1156" s="1">
        <v>44286.479166666664</v>
      </c>
      <c r="J1156" s="4">
        <f t="shared" si="18"/>
        <v>0.125</v>
      </c>
      <c r="K1156" t="s">
        <v>190</v>
      </c>
      <c r="M1156">
        <v>0</v>
      </c>
      <c r="N1156" s="5" t="s">
        <v>144</v>
      </c>
      <c r="Q1156" s="2" t="s">
        <v>19</v>
      </c>
    </row>
    <row r="1157" spans="1:17" ht="68" x14ac:dyDescent="0.2">
      <c r="A1157" t="s">
        <v>189</v>
      </c>
      <c r="B1157" t="s">
        <v>134</v>
      </c>
      <c r="C1157" t="s">
        <v>16</v>
      </c>
      <c r="D1157" s="3">
        <v>44287</v>
      </c>
      <c r="E1157" s="1">
        <v>44287.496400462966</v>
      </c>
      <c r="F1157" t="s">
        <v>17</v>
      </c>
      <c r="G1157" t="s">
        <v>43</v>
      </c>
      <c r="H1157" s="1">
        <v>44287.375</v>
      </c>
      <c r="I1157" s="1">
        <v>44287.489583333336</v>
      </c>
      <c r="J1157" s="4">
        <f t="shared" si="18"/>
        <v>0.11458333333575865</v>
      </c>
      <c r="K1157" t="s">
        <v>192</v>
      </c>
      <c r="M1157">
        <v>0</v>
      </c>
      <c r="N1157" s="6">
        <v>0</v>
      </c>
      <c r="Q1157" s="2" t="s">
        <v>19</v>
      </c>
    </row>
    <row r="1158" spans="1:17" ht="68" x14ac:dyDescent="0.2">
      <c r="A1158" t="s">
        <v>189</v>
      </c>
      <c r="B1158" t="s">
        <v>134</v>
      </c>
      <c r="C1158" t="s">
        <v>16</v>
      </c>
      <c r="D1158" s="3">
        <v>44287</v>
      </c>
      <c r="E1158" s="1">
        <v>44287.664652777778</v>
      </c>
      <c r="F1158" t="s">
        <v>17</v>
      </c>
      <c r="G1158" t="s">
        <v>37</v>
      </c>
      <c r="H1158" s="1">
        <v>44287.53125</v>
      </c>
      <c r="I1158" s="1">
        <v>44287.666666666664</v>
      </c>
      <c r="J1158" s="4">
        <f t="shared" si="18"/>
        <v>0.13541666666424135</v>
      </c>
      <c r="K1158" t="s">
        <v>192</v>
      </c>
      <c r="M1158">
        <v>0</v>
      </c>
      <c r="N1158" s="6">
        <v>0</v>
      </c>
      <c r="Q1158" s="2" t="s">
        <v>19</v>
      </c>
    </row>
    <row r="1159" spans="1:17" ht="68" x14ac:dyDescent="0.2">
      <c r="A1159" t="s">
        <v>189</v>
      </c>
      <c r="B1159" t="s">
        <v>134</v>
      </c>
      <c r="C1159" t="s">
        <v>16</v>
      </c>
      <c r="D1159" s="3">
        <v>44288</v>
      </c>
      <c r="E1159" s="1">
        <v>44288.474490740744</v>
      </c>
      <c r="F1159" t="s">
        <v>17</v>
      </c>
      <c r="G1159" t="s">
        <v>38</v>
      </c>
      <c r="H1159" s="1">
        <v>44288.354166666664</v>
      </c>
      <c r="I1159" s="1">
        <v>44288.479166666664</v>
      </c>
      <c r="J1159" s="4">
        <f t="shared" si="18"/>
        <v>0.125</v>
      </c>
      <c r="K1159" t="s">
        <v>190</v>
      </c>
      <c r="M1159">
        <v>2</v>
      </c>
      <c r="N1159" s="6">
        <v>0</v>
      </c>
      <c r="Q1159" s="2" t="s">
        <v>19</v>
      </c>
    </row>
    <row r="1160" spans="1:17" ht="68" x14ac:dyDescent="0.2">
      <c r="A1160" t="s">
        <v>189</v>
      </c>
      <c r="B1160" t="s">
        <v>134</v>
      </c>
      <c r="C1160" t="s">
        <v>16</v>
      </c>
      <c r="D1160" s="3">
        <v>44291</v>
      </c>
      <c r="E1160" s="1">
        <v>44291.465520833335</v>
      </c>
      <c r="F1160" t="s">
        <v>17</v>
      </c>
      <c r="G1160" t="s">
        <v>38</v>
      </c>
      <c r="H1160" s="1">
        <v>44291.354166666664</v>
      </c>
      <c r="I1160" s="1">
        <v>44291.479166666664</v>
      </c>
      <c r="J1160" s="4">
        <f t="shared" si="18"/>
        <v>0.125</v>
      </c>
      <c r="K1160" t="s">
        <v>190</v>
      </c>
      <c r="M1160">
        <v>0</v>
      </c>
      <c r="N1160" s="5" t="s">
        <v>144</v>
      </c>
      <c r="Q1160" s="2" t="s">
        <v>19</v>
      </c>
    </row>
    <row r="1161" spans="1:17" ht="68" x14ac:dyDescent="0.2">
      <c r="A1161" t="s">
        <v>189</v>
      </c>
      <c r="B1161" t="s">
        <v>134</v>
      </c>
      <c r="C1161" t="s">
        <v>16</v>
      </c>
      <c r="D1161" s="3">
        <v>44292</v>
      </c>
      <c r="E1161" s="1">
        <v>44292.489236111112</v>
      </c>
      <c r="F1161" t="s">
        <v>17</v>
      </c>
      <c r="G1161" t="s">
        <v>44</v>
      </c>
      <c r="H1161" s="1">
        <v>44292.375</v>
      </c>
      <c r="I1161" s="1">
        <v>44292.489583333336</v>
      </c>
      <c r="J1161" s="4">
        <f t="shared" si="18"/>
        <v>0.11458333333575865</v>
      </c>
      <c r="K1161" t="s">
        <v>192</v>
      </c>
      <c r="M1161">
        <v>0</v>
      </c>
      <c r="N1161" s="6">
        <v>0</v>
      </c>
      <c r="Q1161" s="2" t="s">
        <v>19</v>
      </c>
    </row>
    <row r="1162" spans="1:17" ht="68" x14ac:dyDescent="0.2">
      <c r="A1162" t="s">
        <v>189</v>
      </c>
      <c r="B1162" t="s">
        <v>134</v>
      </c>
      <c r="C1162" t="s">
        <v>16</v>
      </c>
      <c r="D1162" s="3">
        <v>44292</v>
      </c>
      <c r="E1162" s="1">
        <v>44292.670972222222</v>
      </c>
      <c r="F1162" t="s">
        <v>17</v>
      </c>
      <c r="G1162" t="s">
        <v>45</v>
      </c>
      <c r="H1162" s="1">
        <v>44292.53125</v>
      </c>
      <c r="I1162" s="1">
        <v>44292.666666666664</v>
      </c>
      <c r="J1162" s="4">
        <f t="shared" si="18"/>
        <v>0.13541666666424135</v>
      </c>
      <c r="K1162" t="s">
        <v>193</v>
      </c>
      <c r="M1162">
        <v>2</v>
      </c>
      <c r="N1162" s="6">
        <v>0</v>
      </c>
      <c r="Q1162" s="2" t="s">
        <v>19</v>
      </c>
    </row>
    <row r="1163" spans="1:17" ht="68" x14ac:dyDescent="0.2">
      <c r="A1163" t="s">
        <v>189</v>
      </c>
      <c r="B1163" t="s">
        <v>134</v>
      </c>
      <c r="C1163" t="s">
        <v>16</v>
      </c>
      <c r="D1163" s="3">
        <v>44293</v>
      </c>
      <c r="E1163" s="1">
        <v>44293.459664351853</v>
      </c>
      <c r="F1163" t="s">
        <v>17</v>
      </c>
      <c r="G1163" t="s">
        <v>18</v>
      </c>
      <c r="H1163" s="1">
        <v>44293.354166666664</v>
      </c>
      <c r="I1163" s="1">
        <v>44293.479166666664</v>
      </c>
      <c r="J1163" s="4">
        <f t="shared" si="18"/>
        <v>0.125</v>
      </c>
      <c r="K1163" t="s">
        <v>190</v>
      </c>
      <c r="M1163">
        <v>0</v>
      </c>
      <c r="N1163" s="5" t="s">
        <v>144</v>
      </c>
      <c r="Q1163" s="2" t="s">
        <v>19</v>
      </c>
    </row>
    <row r="1164" spans="1:17" ht="68" x14ac:dyDescent="0.2">
      <c r="A1164" t="s">
        <v>189</v>
      </c>
      <c r="B1164" t="s">
        <v>134</v>
      </c>
      <c r="C1164" t="s">
        <v>16</v>
      </c>
      <c r="D1164" s="3">
        <v>44294</v>
      </c>
      <c r="E1164" s="1">
        <v>44294.487187500003</v>
      </c>
      <c r="F1164" t="s">
        <v>17</v>
      </c>
      <c r="G1164" t="s">
        <v>46</v>
      </c>
      <c r="H1164" s="1">
        <v>44294.375</v>
      </c>
      <c r="I1164" s="1">
        <v>44294.489583333336</v>
      </c>
      <c r="J1164" s="4">
        <f t="shared" si="18"/>
        <v>0.11458333333575865</v>
      </c>
      <c r="K1164" t="s">
        <v>194</v>
      </c>
      <c r="M1164">
        <v>7</v>
      </c>
      <c r="N1164" s="6">
        <v>0</v>
      </c>
      <c r="Q1164" s="2" t="s">
        <v>19</v>
      </c>
    </row>
    <row r="1165" spans="1:17" ht="68" x14ac:dyDescent="0.2">
      <c r="A1165" t="s">
        <v>189</v>
      </c>
      <c r="B1165" t="s">
        <v>134</v>
      </c>
      <c r="C1165" t="s">
        <v>16</v>
      </c>
      <c r="D1165" s="3">
        <v>44294</v>
      </c>
      <c r="E1165" s="1">
        <v>44294.583819444444</v>
      </c>
      <c r="F1165" t="s">
        <v>17</v>
      </c>
      <c r="G1165" t="s">
        <v>42</v>
      </c>
      <c r="H1165" s="1">
        <v>44294.53125</v>
      </c>
      <c r="I1165" s="1">
        <v>44294.666666666664</v>
      </c>
      <c r="J1165" s="4">
        <f t="shared" si="18"/>
        <v>0.13541666666424135</v>
      </c>
      <c r="K1165" t="s">
        <v>192</v>
      </c>
      <c r="M1165">
        <v>1</v>
      </c>
      <c r="N1165" s="6">
        <v>0</v>
      </c>
      <c r="Q1165" s="2" t="s">
        <v>19</v>
      </c>
    </row>
    <row r="1166" spans="1:17" ht="68" x14ac:dyDescent="0.2">
      <c r="A1166" t="s">
        <v>189</v>
      </c>
      <c r="B1166" t="s">
        <v>134</v>
      </c>
      <c r="C1166" t="s">
        <v>16</v>
      </c>
      <c r="D1166" s="3">
        <v>44294</v>
      </c>
      <c r="E1166" s="1">
        <v>44294.669641203705</v>
      </c>
      <c r="F1166" t="s">
        <v>17</v>
      </c>
      <c r="G1166" t="s">
        <v>42</v>
      </c>
      <c r="H1166" s="1">
        <v>44294.53125</v>
      </c>
      <c r="I1166" s="1">
        <v>44294.666666666664</v>
      </c>
      <c r="J1166" s="4">
        <f t="shared" si="18"/>
        <v>0.13541666666424135</v>
      </c>
      <c r="K1166" t="s">
        <v>192</v>
      </c>
      <c r="M1166">
        <v>0</v>
      </c>
      <c r="N1166" s="6">
        <v>0</v>
      </c>
      <c r="Q1166" s="2" t="s">
        <v>19</v>
      </c>
    </row>
    <row r="1167" spans="1:17" ht="68" x14ac:dyDescent="0.2">
      <c r="A1167" t="s">
        <v>189</v>
      </c>
      <c r="B1167" t="s">
        <v>134</v>
      </c>
      <c r="C1167" t="s">
        <v>16</v>
      </c>
      <c r="D1167" s="3">
        <v>44298</v>
      </c>
      <c r="E1167" s="1">
        <v>44298.660752314812</v>
      </c>
      <c r="F1167" t="s">
        <v>17</v>
      </c>
      <c r="G1167" t="s">
        <v>45</v>
      </c>
      <c r="H1167" s="1">
        <v>44298.53125</v>
      </c>
      <c r="I1167" s="1">
        <v>44298.666666666664</v>
      </c>
      <c r="J1167" s="4">
        <f t="shared" si="18"/>
        <v>0.13541666666424135</v>
      </c>
      <c r="K1167" t="s">
        <v>195</v>
      </c>
      <c r="M1167">
        <v>0</v>
      </c>
      <c r="N1167" s="6">
        <v>0</v>
      </c>
      <c r="Q1167" s="2" t="s">
        <v>19</v>
      </c>
    </row>
    <row r="1168" spans="1:17" ht="68" x14ac:dyDescent="0.2">
      <c r="A1168" t="s">
        <v>189</v>
      </c>
      <c r="B1168" t="s">
        <v>134</v>
      </c>
      <c r="C1168" t="s">
        <v>16</v>
      </c>
      <c r="D1168" s="3">
        <v>44299</v>
      </c>
      <c r="E1168" s="1">
        <v>44299.44494212963</v>
      </c>
      <c r="F1168" t="s">
        <v>17</v>
      </c>
      <c r="G1168" t="s">
        <v>47</v>
      </c>
      <c r="H1168" s="1">
        <v>44299.375</v>
      </c>
      <c r="I1168" s="1">
        <v>44299.510416666664</v>
      </c>
      <c r="J1168" s="4">
        <f t="shared" si="18"/>
        <v>0.13541666666424135</v>
      </c>
      <c r="K1168" t="s">
        <v>192</v>
      </c>
      <c r="M1168">
        <v>3</v>
      </c>
      <c r="N1168" s="6">
        <v>0</v>
      </c>
      <c r="Q1168" s="2" t="s">
        <v>19</v>
      </c>
    </row>
    <row r="1169" spans="1:17" ht="68" x14ac:dyDescent="0.2">
      <c r="A1169" t="s">
        <v>189</v>
      </c>
      <c r="B1169" t="s">
        <v>134</v>
      </c>
      <c r="C1169" t="s">
        <v>16</v>
      </c>
      <c r="D1169" s="3">
        <v>44299</v>
      </c>
      <c r="E1169" s="1">
        <v>44299.59443287037</v>
      </c>
      <c r="F1169" t="s">
        <v>17</v>
      </c>
      <c r="G1169" t="s">
        <v>48</v>
      </c>
      <c r="H1169" s="1">
        <v>44299.53125</v>
      </c>
      <c r="I1169" s="1">
        <v>44299.635416666664</v>
      </c>
      <c r="J1169" s="4">
        <f t="shared" si="18"/>
        <v>0.10416666666424135</v>
      </c>
      <c r="K1169" t="s">
        <v>192</v>
      </c>
      <c r="M1169">
        <v>1</v>
      </c>
      <c r="N1169" s="6">
        <v>0</v>
      </c>
      <c r="Q1169" s="2" t="s">
        <v>19</v>
      </c>
    </row>
    <row r="1170" spans="1:17" ht="68" x14ac:dyDescent="0.2">
      <c r="A1170" t="s">
        <v>189</v>
      </c>
      <c r="B1170" t="s">
        <v>134</v>
      </c>
      <c r="C1170" t="s">
        <v>16</v>
      </c>
      <c r="D1170" s="3">
        <v>44299</v>
      </c>
      <c r="E1170" s="1">
        <v>44299.667488425926</v>
      </c>
      <c r="F1170" t="s">
        <v>17</v>
      </c>
      <c r="G1170" t="s">
        <v>49</v>
      </c>
      <c r="H1170" s="1">
        <v>44299.63958333333</v>
      </c>
      <c r="I1170" s="1">
        <v>44299.666666666664</v>
      </c>
      <c r="J1170" s="4">
        <f t="shared" si="18"/>
        <v>2.7083333334303461E-2</v>
      </c>
      <c r="K1170" t="s">
        <v>196</v>
      </c>
      <c r="M1170">
        <v>0</v>
      </c>
      <c r="N1170" s="6">
        <v>0</v>
      </c>
      <c r="Q1170" s="2" t="s">
        <v>19</v>
      </c>
    </row>
    <row r="1171" spans="1:17" ht="68" x14ac:dyDescent="0.2">
      <c r="A1171" t="s">
        <v>189</v>
      </c>
      <c r="B1171" t="s">
        <v>134</v>
      </c>
      <c r="C1171" t="s">
        <v>16</v>
      </c>
      <c r="D1171" s="3">
        <v>44300</v>
      </c>
      <c r="E1171" s="1">
        <v>44300.490590277775</v>
      </c>
      <c r="F1171" t="s">
        <v>17</v>
      </c>
      <c r="G1171" t="s">
        <v>50</v>
      </c>
      <c r="H1171" s="1">
        <v>44300.375</v>
      </c>
      <c r="I1171" s="1">
        <v>44300.489583333336</v>
      </c>
      <c r="J1171" s="4">
        <f t="shared" si="18"/>
        <v>0.11458333333575865</v>
      </c>
      <c r="K1171" t="s">
        <v>197</v>
      </c>
      <c r="M1171">
        <v>3</v>
      </c>
      <c r="N1171" s="6">
        <v>0</v>
      </c>
      <c r="Q1171" s="2" t="s">
        <v>19</v>
      </c>
    </row>
    <row r="1172" spans="1:17" ht="68" x14ac:dyDescent="0.2">
      <c r="A1172" t="s">
        <v>189</v>
      </c>
      <c r="B1172" t="s">
        <v>134</v>
      </c>
      <c r="C1172" t="s">
        <v>16</v>
      </c>
      <c r="D1172" s="3">
        <v>44300</v>
      </c>
      <c r="E1172" s="1">
        <v>44300.669432870367</v>
      </c>
      <c r="F1172" t="s">
        <v>17</v>
      </c>
      <c r="G1172" t="s">
        <v>51</v>
      </c>
      <c r="H1172" s="1">
        <v>44300.552083333336</v>
      </c>
      <c r="I1172" s="1">
        <v>44300.666666666664</v>
      </c>
      <c r="J1172" s="4">
        <f t="shared" si="18"/>
        <v>0.11458333332848269</v>
      </c>
      <c r="K1172" t="s">
        <v>198</v>
      </c>
      <c r="M1172">
        <v>2</v>
      </c>
      <c r="N1172" s="6">
        <v>0</v>
      </c>
      <c r="Q1172" s="2" t="s">
        <v>19</v>
      </c>
    </row>
    <row r="1173" spans="1:17" ht="68" x14ac:dyDescent="0.2">
      <c r="A1173" t="s">
        <v>189</v>
      </c>
      <c r="B1173" t="s">
        <v>134</v>
      </c>
      <c r="C1173" t="s">
        <v>16</v>
      </c>
      <c r="D1173" s="3">
        <v>44301</v>
      </c>
      <c r="E1173" s="1">
        <v>44301.498796296299</v>
      </c>
      <c r="F1173" t="s">
        <v>17</v>
      </c>
      <c r="G1173" t="s">
        <v>52</v>
      </c>
      <c r="H1173" s="1">
        <v>44301.375</v>
      </c>
      <c r="I1173" s="1">
        <v>44301.510416666664</v>
      </c>
      <c r="J1173" s="4">
        <f t="shared" si="18"/>
        <v>0.13541666666424135</v>
      </c>
      <c r="K1173" t="s">
        <v>192</v>
      </c>
      <c r="M1173">
        <v>0</v>
      </c>
      <c r="N1173" s="6">
        <v>0</v>
      </c>
      <c r="Q1173" s="2" t="s">
        <v>19</v>
      </c>
    </row>
    <row r="1174" spans="1:17" ht="68" x14ac:dyDescent="0.2">
      <c r="A1174" t="s">
        <v>189</v>
      </c>
      <c r="B1174" t="s">
        <v>134</v>
      </c>
      <c r="C1174" t="s">
        <v>16</v>
      </c>
      <c r="D1174" s="3">
        <v>44301</v>
      </c>
      <c r="E1174" s="1">
        <v>44301.664097222223</v>
      </c>
      <c r="F1174" t="s">
        <v>17</v>
      </c>
      <c r="G1174" t="s">
        <v>37</v>
      </c>
      <c r="H1174" s="1">
        <v>44301.53125</v>
      </c>
      <c r="I1174" s="1">
        <v>44301.666666666664</v>
      </c>
      <c r="J1174" s="4">
        <f t="shared" si="18"/>
        <v>0.13541666666424135</v>
      </c>
      <c r="K1174" t="s">
        <v>192</v>
      </c>
      <c r="M1174">
        <v>0</v>
      </c>
      <c r="N1174" s="6">
        <v>0</v>
      </c>
      <c r="Q1174" s="2" t="s">
        <v>19</v>
      </c>
    </row>
    <row r="1175" spans="1:17" ht="68" x14ac:dyDescent="0.2">
      <c r="A1175" t="s">
        <v>189</v>
      </c>
      <c r="B1175" t="s">
        <v>134</v>
      </c>
      <c r="C1175" t="s">
        <v>16</v>
      </c>
      <c r="D1175" s="3">
        <v>44302</v>
      </c>
      <c r="E1175" s="1">
        <v>44302.486875000002</v>
      </c>
      <c r="F1175" t="s">
        <v>17</v>
      </c>
      <c r="G1175" t="s">
        <v>53</v>
      </c>
      <c r="H1175" s="1">
        <v>44302.395833333336</v>
      </c>
      <c r="I1175" s="1">
        <v>44302.489583333336</v>
      </c>
      <c r="J1175" s="4">
        <f t="shared" si="18"/>
        <v>9.375E-2</v>
      </c>
      <c r="K1175" t="s">
        <v>199</v>
      </c>
      <c r="M1175">
        <v>0</v>
      </c>
      <c r="N1175" s="6">
        <v>0</v>
      </c>
      <c r="Q1175" s="2" t="s">
        <v>19</v>
      </c>
    </row>
    <row r="1176" spans="1:17" ht="68" x14ac:dyDescent="0.2">
      <c r="A1176" t="s">
        <v>189</v>
      </c>
      <c r="B1176" t="s">
        <v>134</v>
      </c>
      <c r="C1176" t="s">
        <v>16</v>
      </c>
      <c r="D1176" s="3">
        <v>44302</v>
      </c>
      <c r="E1176" s="1">
        <v>44302.658113425925</v>
      </c>
      <c r="F1176" t="s">
        <v>17</v>
      </c>
      <c r="G1176" t="s">
        <v>54</v>
      </c>
      <c r="H1176" s="1">
        <v>44302.53125</v>
      </c>
      <c r="I1176" s="1">
        <v>44302.666666666664</v>
      </c>
      <c r="J1176" s="4">
        <f t="shared" si="18"/>
        <v>0.13541666666424135</v>
      </c>
      <c r="K1176" t="s">
        <v>195</v>
      </c>
      <c r="M1176">
        <v>0</v>
      </c>
      <c r="N1176" s="6">
        <v>0</v>
      </c>
      <c r="Q1176" s="2" t="s">
        <v>19</v>
      </c>
    </row>
    <row r="1177" spans="1:17" ht="68" x14ac:dyDescent="0.2">
      <c r="A1177" t="s">
        <v>189</v>
      </c>
      <c r="B1177" t="s">
        <v>134</v>
      </c>
      <c r="C1177" t="s">
        <v>16</v>
      </c>
      <c r="D1177" s="3">
        <v>44307</v>
      </c>
      <c r="E1177" s="1">
        <v>44307.489062499997</v>
      </c>
      <c r="F1177" t="s">
        <v>17</v>
      </c>
      <c r="G1177" t="s">
        <v>36</v>
      </c>
      <c r="H1177" s="1">
        <v>44307.375</v>
      </c>
      <c r="I1177" s="1">
        <v>44307.489583333336</v>
      </c>
      <c r="J1177" s="4">
        <f t="shared" si="18"/>
        <v>0.11458333333575865</v>
      </c>
      <c r="K1177" t="s">
        <v>197</v>
      </c>
      <c r="M1177">
        <v>3</v>
      </c>
      <c r="N1177" s="6">
        <v>0</v>
      </c>
      <c r="Q1177" s="2" t="s">
        <v>19</v>
      </c>
    </row>
    <row r="1178" spans="1:17" ht="68" x14ac:dyDescent="0.2">
      <c r="A1178" t="s">
        <v>189</v>
      </c>
      <c r="B1178" t="s">
        <v>134</v>
      </c>
      <c r="C1178" t="s">
        <v>16</v>
      </c>
      <c r="D1178" s="3">
        <v>44307</v>
      </c>
      <c r="E1178" s="1">
        <v>44307.649594907409</v>
      </c>
      <c r="F1178" t="s">
        <v>17</v>
      </c>
      <c r="G1178" t="s">
        <v>37</v>
      </c>
      <c r="H1178" s="1">
        <v>44307.53125</v>
      </c>
      <c r="I1178" s="1">
        <v>44307.666666666664</v>
      </c>
      <c r="J1178" s="4">
        <f t="shared" si="18"/>
        <v>0.13541666666424135</v>
      </c>
      <c r="K1178" t="s">
        <v>195</v>
      </c>
      <c r="M1178">
        <v>0</v>
      </c>
      <c r="N1178" s="6">
        <v>0</v>
      </c>
      <c r="Q1178" s="2" t="s">
        <v>19</v>
      </c>
    </row>
    <row r="1179" spans="1:17" ht="68" x14ac:dyDescent="0.2">
      <c r="A1179" t="s">
        <v>189</v>
      </c>
      <c r="B1179" t="s">
        <v>134</v>
      </c>
      <c r="C1179" t="s">
        <v>16</v>
      </c>
      <c r="D1179" s="3">
        <v>44308</v>
      </c>
      <c r="E1179" s="1">
        <v>44308.446712962963</v>
      </c>
      <c r="F1179" t="s">
        <v>17</v>
      </c>
      <c r="G1179" t="s">
        <v>55</v>
      </c>
      <c r="H1179" s="1">
        <v>44308.375</v>
      </c>
      <c r="I1179" s="1">
        <v>44308.510416666664</v>
      </c>
      <c r="J1179" s="4">
        <f t="shared" si="18"/>
        <v>0.13541666666424135</v>
      </c>
      <c r="K1179" t="s">
        <v>200</v>
      </c>
      <c r="M1179">
        <v>5</v>
      </c>
      <c r="N1179" s="6">
        <v>0</v>
      </c>
      <c r="Q1179" s="2" t="s">
        <v>19</v>
      </c>
    </row>
    <row r="1180" spans="1:17" ht="68" x14ac:dyDescent="0.2">
      <c r="A1180" t="s">
        <v>189</v>
      </c>
      <c r="B1180" t="s">
        <v>134</v>
      </c>
      <c r="C1180" t="s">
        <v>16</v>
      </c>
      <c r="D1180" s="3">
        <v>44308</v>
      </c>
      <c r="E1180" s="1">
        <v>44308.503912037035</v>
      </c>
      <c r="F1180" t="s">
        <v>17</v>
      </c>
      <c r="G1180" t="s">
        <v>55</v>
      </c>
      <c r="H1180" s="1">
        <v>44308.375</v>
      </c>
      <c r="I1180" s="1">
        <v>44308.510416666664</v>
      </c>
      <c r="J1180" s="4">
        <f t="shared" si="18"/>
        <v>0.13541666666424135</v>
      </c>
      <c r="K1180" t="s">
        <v>200</v>
      </c>
      <c r="M1180">
        <v>5</v>
      </c>
      <c r="N1180" s="6">
        <v>0</v>
      </c>
      <c r="Q1180" s="2" t="s">
        <v>19</v>
      </c>
    </row>
    <row r="1181" spans="1:17" ht="68" x14ac:dyDescent="0.2">
      <c r="A1181" t="s">
        <v>189</v>
      </c>
      <c r="B1181" t="s">
        <v>134</v>
      </c>
      <c r="C1181" t="s">
        <v>16</v>
      </c>
      <c r="D1181" s="3">
        <v>44308</v>
      </c>
      <c r="E1181" s="1">
        <v>44308.664513888885</v>
      </c>
      <c r="F1181" t="s">
        <v>17</v>
      </c>
      <c r="G1181" t="s">
        <v>56</v>
      </c>
      <c r="H1181" s="1">
        <v>44308.541666666664</v>
      </c>
      <c r="I1181" s="1">
        <v>44308.666666666664</v>
      </c>
      <c r="J1181" s="4">
        <f t="shared" si="18"/>
        <v>0.125</v>
      </c>
      <c r="K1181" t="s">
        <v>192</v>
      </c>
      <c r="M1181">
        <v>0</v>
      </c>
      <c r="N1181" s="6">
        <v>0</v>
      </c>
      <c r="Q1181" s="2" t="s">
        <v>19</v>
      </c>
    </row>
    <row r="1182" spans="1:17" ht="68" x14ac:dyDescent="0.2">
      <c r="A1182" t="s">
        <v>189</v>
      </c>
      <c r="B1182" t="s">
        <v>134</v>
      </c>
      <c r="C1182" t="s">
        <v>16</v>
      </c>
      <c r="D1182" s="3">
        <v>44312</v>
      </c>
      <c r="E1182" s="1">
        <v>44312.509259259263</v>
      </c>
      <c r="F1182" t="s">
        <v>17</v>
      </c>
      <c r="G1182" t="s">
        <v>44</v>
      </c>
      <c r="H1182" s="1">
        <v>44312.375</v>
      </c>
      <c r="I1182" s="1">
        <v>44312.510416666664</v>
      </c>
      <c r="J1182" s="4">
        <f t="shared" si="18"/>
        <v>0.13541666666424135</v>
      </c>
      <c r="K1182" t="s">
        <v>201</v>
      </c>
      <c r="M1182">
        <v>0</v>
      </c>
      <c r="N1182" s="6">
        <v>0</v>
      </c>
      <c r="Q1182" s="2" t="s">
        <v>19</v>
      </c>
    </row>
    <row r="1183" spans="1:17" ht="68" x14ac:dyDescent="0.2">
      <c r="A1183" t="s">
        <v>189</v>
      </c>
      <c r="B1183" t="s">
        <v>134</v>
      </c>
      <c r="C1183" t="s">
        <v>16</v>
      </c>
      <c r="D1183" s="3">
        <v>44312</v>
      </c>
      <c r="E1183" s="1">
        <v>44312.650439814817</v>
      </c>
      <c r="F1183" t="s">
        <v>17</v>
      </c>
      <c r="G1183" t="s">
        <v>57</v>
      </c>
      <c r="H1183" s="1">
        <v>44312.53125</v>
      </c>
      <c r="I1183" s="1">
        <v>44312.666666666664</v>
      </c>
      <c r="J1183" s="4">
        <f t="shared" si="18"/>
        <v>0.13541666666424135</v>
      </c>
      <c r="K1183" t="s">
        <v>195</v>
      </c>
      <c r="M1183">
        <v>3</v>
      </c>
      <c r="N1183" s="6">
        <v>0</v>
      </c>
      <c r="Q1183" s="2" t="s">
        <v>19</v>
      </c>
    </row>
    <row r="1184" spans="1:17" ht="68" x14ac:dyDescent="0.2">
      <c r="A1184" t="s">
        <v>189</v>
      </c>
      <c r="B1184" t="s">
        <v>134</v>
      </c>
      <c r="C1184" t="s">
        <v>16</v>
      </c>
      <c r="D1184" s="3">
        <v>44313</v>
      </c>
      <c r="E1184" s="1">
        <v>44313.487835648149</v>
      </c>
      <c r="F1184" t="s">
        <v>17</v>
      </c>
      <c r="G1184" t="s">
        <v>55</v>
      </c>
      <c r="H1184" s="1">
        <v>44313.375</v>
      </c>
      <c r="I1184" s="1">
        <v>44313.489583333336</v>
      </c>
      <c r="J1184" s="4">
        <f t="shared" si="18"/>
        <v>0.11458333333575865</v>
      </c>
      <c r="K1184" t="s">
        <v>200</v>
      </c>
      <c r="M1184">
        <v>2</v>
      </c>
      <c r="N1184" s="6">
        <v>0</v>
      </c>
      <c r="Q1184" s="2" t="s">
        <v>19</v>
      </c>
    </row>
    <row r="1185" spans="1:17" ht="68" x14ac:dyDescent="0.2">
      <c r="A1185" t="s">
        <v>189</v>
      </c>
      <c r="B1185" t="s">
        <v>134</v>
      </c>
      <c r="C1185" t="s">
        <v>16</v>
      </c>
      <c r="D1185" s="3">
        <v>44313</v>
      </c>
      <c r="E1185" s="1">
        <v>44313.539525462962</v>
      </c>
      <c r="F1185" t="s">
        <v>17</v>
      </c>
      <c r="G1185" t="s">
        <v>37</v>
      </c>
      <c r="H1185" s="1">
        <v>44313.53125</v>
      </c>
      <c r="I1185" s="1">
        <v>44313.541666666664</v>
      </c>
      <c r="J1185" s="4">
        <f t="shared" si="18"/>
        <v>1.0416666664241347E-2</v>
      </c>
      <c r="K1185" t="s">
        <v>202</v>
      </c>
      <c r="M1185">
        <v>0</v>
      </c>
      <c r="N1185" s="6">
        <v>0</v>
      </c>
      <c r="Q1185" s="2" t="s">
        <v>19</v>
      </c>
    </row>
    <row r="1186" spans="1:17" ht="68" x14ac:dyDescent="0.2">
      <c r="A1186" t="s">
        <v>189</v>
      </c>
      <c r="B1186" t="s">
        <v>134</v>
      </c>
      <c r="C1186" t="s">
        <v>16</v>
      </c>
      <c r="D1186" s="3">
        <v>44313</v>
      </c>
      <c r="E1186" s="1">
        <v>44313.63622685185</v>
      </c>
      <c r="F1186" t="s">
        <v>17</v>
      </c>
      <c r="G1186" t="s">
        <v>58</v>
      </c>
      <c r="H1186" s="1">
        <v>44313.541666666664</v>
      </c>
      <c r="I1186" s="1">
        <v>44313.666666666664</v>
      </c>
      <c r="J1186" s="4">
        <f t="shared" si="18"/>
        <v>0.125</v>
      </c>
      <c r="K1186" t="s">
        <v>192</v>
      </c>
      <c r="M1186">
        <v>1</v>
      </c>
      <c r="N1186" s="6">
        <v>0</v>
      </c>
      <c r="Q1186" s="2" t="s">
        <v>19</v>
      </c>
    </row>
    <row r="1187" spans="1:17" ht="68" x14ac:dyDescent="0.2">
      <c r="A1187" t="s">
        <v>189</v>
      </c>
      <c r="B1187" t="s">
        <v>134</v>
      </c>
      <c r="C1187" t="s">
        <v>16</v>
      </c>
      <c r="D1187" s="3">
        <v>44314</v>
      </c>
      <c r="E1187" s="1">
        <v>44314.491793981484</v>
      </c>
      <c r="F1187" t="s">
        <v>17</v>
      </c>
      <c r="G1187" t="s">
        <v>53</v>
      </c>
      <c r="H1187" s="1">
        <v>44314.375</v>
      </c>
      <c r="I1187" s="1">
        <v>44314.489583333336</v>
      </c>
      <c r="J1187" s="4">
        <f t="shared" si="18"/>
        <v>0.11458333333575865</v>
      </c>
      <c r="K1187" t="s">
        <v>203</v>
      </c>
      <c r="M1187">
        <v>4</v>
      </c>
      <c r="N1187" s="6">
        <v>0</v>
      </c>
      <c r="Q1187" s="2" t="s">
        <v>19</v>
      </c>
    </row>
    <row r="1188" spans="1:17" ht="68" x14ac:dyDescent="0.2">
      <c r="A1188" t="s">
        <v>189</v>
      </c>
      <c r="B1188" t="s">
        <v>134</v>
      </c>
      <c r="C1188" t="s">
        <v>16</v>
      </c>
      <c r="D1188" s="3">
        <v>44314</v>
      </c>
      <c r="E1188" s="1">
        <v>44314.497430555559</v>
      </c>
      <c r="F1188" t="s">
        <v>17</v>
      </c>
      <c r="G1188" t="s">
        <v>53</v>
      </c>
      <c r="H1188" s="1">
        <v>44314.375</v>
      </c>
      <c r="I1188" s="1">
        <v>44314.489583333336</v>
      </c>
      <c r="J1188" s="4">
        <f t="shared" si="18"/>
        <v>0.11458333333575865</v>
      </c>
      <c r="K1188" t="s">
        <v>203</v>
      </c>
      <c r="M1188">
        <v>0</v>
      </c>
      <c r="N1188" s="6">
        <v>0</v>
      </c>
      <c r="Q1188" s="2" t="s">
        <v>19</v>
      </c>
    </row>
    <row r="1189" spans="1:17" ht="68" x14ac:dyDescent="0.2">
      <c r="A1189" t="s">
        <v>189</v>
      </c>
      <c r="B1189" t="s">
        <v>134</v>
      </c>
      <c r="C1189" t="s">
        <v>16</v>
      </c>
      <c r="D1189" s="3">
        <v>44314</v>
      </c>
      <c r="E1189" s="1">
        <v>44314.652696759258</v>
      </c>
      <c r="F1189" t="s">
        <v>17</v>
      </c>
      <c r="G1189" t="s">
        <v>59</v>
      </c>
      <c r="H1189" s="1">
        <v>44314.53125</v>
      </c>
      <c r="I1189" s="1">
        <v>44314.666666666664</v>
      </c>
      <c r="J1189" s="4">
        <f t="shared" si="18"/>
        <v>0.13541666666424135</v>
      </c>
      <c r="K1189" t="s">
        <v>195</v>
      </c>
      <c r="M1189">
        <v>2</v>
      </c>
      <c r="N1189" s="6">
        <v>0</v>
      </c>
      <c r="Q1189" s="2" t="s">
        <v>19</v>
      </c>
    </row>
    <row r="1190" spans="1:17" ht="68" x14ac:dyDescent="0.2">
      <c r="A1190" t="s">
        <v>189</v>
      </c>
      <c r="B1190" t="s">
        <v>134</v>
      </c>
      <c r="C1190" t="s">
        <v>16</v>
      </c>
      <c r="D1190" s="3">
        <v>44315</v>
      </c>
      <c r="E1190" s="1">
        <v>44315.485960648148</v>
      </c>
      <c r="F1190" t="s">
        <v>17</v>
      </c>
      <c r="G1190" t="s">
        <v>43</v>
      </c>
      <c r="H1190" s="1">
        <v>44315.375</v>
      </c>
      <c r="I1190" s="1">
        <v>44315.489583333336</v>
      </c>
      <c r="J1190" s="4">
        <f t="shared" si="18"/>
        <v>0.11458333333575865</v>
      </c>
      <c r="K1190" t="s">
        <v>200</v>
      </c>
      <c r="M1190">
        <v>3</v>
      </c>
      <c r="N1190" s="6">
        <v>0</v>
      </c>
      <c r="Q1190" s="2" t="s">
        <v>19</v>
      </c>
    </row>
    <row r="1191" spans="1:17" ht="68" x14ac:dyDescent="0.2">
      <c r="A1191" t="s">
        <v>189</v>
      </c>
      <c r="B1191" t="s">
        <v>134</v>
      </c>
      <c r="C1191" t="s">
        <v>16</v>
      </c>
      <c r="D1191" s="3">
        <v>44315</v>
      </c>
      <c r="E1191" s="1">
        <v>44315.542488425926</v>
      </c>
      <c r="F1191" t="s">
        <v>17</v>
      </c>
      <c r="G1191" t="s">
        <v>35</v>
      </c>
      <c r="H1191" s="1">
        <v>44315.53125</v>
      </c>
      <c r="I1191" s="1">
        <v>44315.541666666664</v>
      </c>
      <c r="J1191" s="4">
        <f t="shared" si="18"/>
        <v>1.0416666664241347E-2</v>
      </c>
      <c r="K1191" t="s">
        <v>202</v>
      </c>
      <c r="M1191">
        <v>0</v>
      </c>
      <c r="N1191" s="6">
        <v>0</v>
      </c>
      <c r="Q1191" s="2" t="s">
        <v>19</v>
      </c>
    </row>
    <row r="1192" spans="1:17" ht="68" x14ac:dyDescent="0.2">
      <c r="A1192" t="s">
        <v>189</v>
      </c>
      <c r="B1192" t="s">
        <v>134</v>
      </c>
      <c r="C1192" t="s">
        <v>16</v>
      </c>
      <c r="D1192" s="3">
        <v>44315</v>
      </c>
      <c r="E1192" s="1">
        <v>44315.66946759259</v>
      </c>
      <c r="F1192" t="s">
        <v>17</v>
      </c>
      <c r="G1192" t="s">
        <v>60</v>
      </c>
      <c r="H1192" s="1">
        <v>44315.541666666664</v>
      </c>
      <c r="I1192" s="1">
        <v>44315.666666666664</v>
      </c>
      <c r="J1192" s="4">
        <f t="shared" si="18"/>
        <v>0.125</v>
      </c>
      <c r="K1192" t="s">
        <v>192</v>
      </c>
      <c r="M1192">
        <v>1</v>
      </c>
      <c r="N1192" s="6">
        <v>0</v>
      </c>
      <c r="Q1192" s="2" t="s">
        <v>19</v>
      </c>
    </row>
    <row r="1193" spans="1:17" ht="68" x14ac:dyDescent="0.2">
      <c r="A1193" t="s">
        <v>189</v>
      </c>
      <c r="B1193" t="s">
        <v>134</v>
      </c>
      <c r="C1193" t="s">
        <v>16</v>
      </c>
      <c r="D1193" s="3">
        <v>44316</v>
      </c>
      <c r="E1193" s="1">
        <v>44316.501226851855</v>
      </c>
      <c r="F1193" t="s">
        <v>17</v>
      </c>
      <c r="G1193" t="s">
        <v>61</v>
      </c>
      <c r="H1193" s="1">
        <v>44316.375</v>
      </c>
      <c r="I1193" s="1">
        <v>44316.489583333336</v>
      </c>
      <c r="J1193" s="4">
        <f t="shared" si="18"/>
        <v>0.11458333333575865</v>
      </c>
      <c r="K1193" t="s">
        <v>204</v>
      </c>
      <c r="M1193">
        <v>0</v>
      </c>
      <c r="N1193" s="6">
        <v>0</v>
      </c>
      <c r="Q1193" s="2" t="s">
        <v>19</v>
      </c>
    </row>
    <row r="1194" spans="1:17" ht="68" x14ac:dyDescent="0.2">
      <c r="A1194" t="s">
        <v>189</v>
      </c>
      <c r="B1194" t="s">
        <v>134</v>
      </c>
      <c r="C1194" t="s">
        <v>16</v>
      </c>
      <c r="D1194" s="3">
        <v>44316</v>
      </c>
      <c r="E1194" s="1">
        <v>44316.616747685184</v>
      </c>
      <c r="F1194" t="s">
        <v>17</v>
      </c>
      <c r="G1194" t="s">
        <v>62</v>
      </c>
      <c r="H1194" s="1">
        <v>44316.510416666664</v>
      </c>
      <c r="I1194" s="1">
        <v>44316.65625</v>
      </c>
      <c r="J1194" s="4">
        <f t="shared" si="18"/>
        <v>0.14583333333575865</v>
      </c>
      <c r="K1194" t="s">
        <v>195</v>
      </c>
      <c r="M1194">
        <v>0</v>
      </c>
      <c r="N1194" s="6">
        <v>0</v>
      </c>
      <c r="Q1194" s="2" t="s">
        <v>19</v>
      </c>
    </row>
    <row r="1195" spans="1:17" ht="68" x14ac:dyDescent="0.2">
      <c r="A1195" t="s">
        <v>189</v>
      </c>
      <c r="B1195" t="s">
        <v>134</v>
      </c>
      <c r="C1195" t="s">
        <v>16</v>
      </c>
      <c r="D1195" s="3">
        <v>44319</v>
      </c>
      <c r="E1195" s="1">
        <v>44319.483888888892</v>
      </c>
      <c r="F1195" t="s">
        <v>17</v>
      </c>
      <c r="G1195" t="s">
        <v>63</v>
      </c>
      <c r="H1195" s="1">
        <v>44319.385416666664</v>
      </c>
      <c r="I1195" s="1">
        <v>44319.489583333336</v>
      </c>
      <c r="J1195" s="4">
        <f t="shared" si="18"/>
        <v>0.10416666667151731</v>
      </c>
      <c r="K1195" t="s">
        <v>199</v>
      </c>
      <c r="M1195">
        <v>0</v>
      </c>
      <c r="N1195" s="6">
        <v>0</v>
      </c>
      <c r="Q1195" s="2" t="s">
        <v>19</v>
      </c>
    </row>
    <row r="1196" spans="1:17" ht="68" x14ac:dyDescent="0.2">
      <c r="A1196" t="s">
        <v>189</v>
      </c>
      <c r="B1196" t="s">
        <v>134</v>
      </c>
      <c r="C1196" t="s">
        <v>16</v>
      </c>
      <c r="D1196" s="3">
        <v>44319</v>
      </c>
      <c r="E1196" s="1">
        <v>44319.654814814814</v>
      </c>
      <c r="F1196" t="s">
        <v>17</v>
      </c>
      <c r="G1196" t="s">
        <v>45</v>
      </c>
      <c r="H1196" s="1">
        <v>44319.53125</v>
      </c>
      <c r="I1196" s="1">
        <v>44319.666666666664</v>
      </c>
      <c r="J1196" s="4">
        <f t="shared" si="18"/>
        <v>0.13541666666424135</v>
      </c>
      <c r="K1196" t="s">
        <v>195</v>
      </c>
      <c r="M1196">
        <v>2</v>
      </c>
      <c r="N1196" s="6">
        <v>0</v>
      </c>
      <c r="Q1196" s="2" t="s">
        <v>19</v>
      </c>
    </row>
    <row r="1197" spans="1:17" ht="68" x14ac:dyDescent="0.2">
      <c r="A1197" t="s">
        <v>189</v>
      </c>
      <c r="B1197" t="s">
        <v>134</v>
      </c>
      <c r="C1197" t="s">
        <v>16</v>
      </c>
      <c r="D1197" s="3">
        <v>44320</v>
      </c>
      <c r="E1197" s="1">
        <v>44320.487141203703</v>
      </c>
      <c r="F1197" t="s">
        <v>17</v>
      </c>
      <c r="G1197" t="s">
        <v>64</v>
      </c>
      <c r="H1197" s="1">
        <v>44320.380555555559</v>
      </c>
      <c r="I1197" s="1">
        <v>44320.492361111108</v>
      </c>
      <c r="J1197" s="4">
        <f t="shared" si="18"/>
        <v>0.11180555554892635</v>
      </c>
      <c r="K1197" t="s">
        <v>205</v>
      </c>
      <c r="M1197">
        <v>1</v>
      </c>
      <c r="N1197" s="6">
        <v>0</v>
      </c>
      <c r="Q1197" s="2" t="s">
        <v>19</v>
      </c>
    </row>
    <row r="1198" spans="1:17" ht="68" x14ac:dyDescent="0.2">
      <c r="A1198" t="s">
        <v>189</v>
      </c>
      <c r="B1198" t="s">
        <v>134</v>
      </c>
      <c r="C1198" t="s">
        <v>16</v>
      </c>
      <c r="D1198" s="3">
        <v>44321</v>
      </c>
      <c r="E1198" s="1">
        <v>44321.644988425927</v>
      </c>
      <c r="F1198" t="s">
        <v>17</v>
      </c>
      <c r="G1198" t="s">
        <v>66</v>
      </c>
      <c r="H1198" s="1">
        <v>44321.510416666664</v>
      </c>
      <c r="I1198" s="1">
        <v>44321.666666666664</v>
      </c>
      <c r="J1198" s="4">
        <f t="shared" si="18"/>
        <v>0.15625</v>
      </c>
      <c r="K1198" t="s">
        <v>195</v>
      </c>
      <c r="M1198">
        <v>2</v>
      </c>
      <c r="N1198" s="6">
        <v>0</v>
      </c>
      <c r="Q1198" s="2" t="s">
        <v>19</v>
      </c>
    </row>
    <row r="1199" spans="1:17" ht="68" x14ac:dyDescent="0.2">
      <c r="A1199" t="s">
        <v>189</v>
      </c>
      <c r="B1199" t="s">
        <v>134</v>
      </c>
      <c r="C1199" t="s">
        <v>16</v>
      </c>
      <c r="D1199" s="3">
        <v>44326</v>
      </c>
      <c r="E1199" s="1">
        <v>44326.489548611113</v>
      </c>
      <c r="F1199" t="s">
        <v>17</v>
      </c>
      <c r="G1199" t="s">
        <v>63</v>
      </c>
      <c r="H1199" s="1">
        <v>44326.375</v>
      </c>
      <c r="I1199" s="1">
        <v>44326.489583333336</v>
      </c>
      <c r="J1199" s="4">
        <f t="shared" si="18"/>
        <v>0.11458333333575865</v>
      </c>
      <c r="K1199" t="s">
        <v>199</v>
      </c>
      <c r="M1199">
        <v>1</v>
      </c>
      <c r="N1199" s="6">
        <v>0</v>
      </c>
      <c r="Q1199" s="2" t="s">
        <v>19</v>
      </c>
    </row>
    <row r="1200" spans="1:17" ht="68" x14ac:dyDescent="0.2">
      <c r="A1200" t="s">
        <v>189</v>
      </c>
      <c r="B1200" t="s">
        <v>134</v>
      </c>
      <c r="C1200" t="s">
        <v>16</v>
      </c>
      <c r="D1200" s="3">
        <v>44326</v>
      </c>
      <c r="E1200" s="1">
        <v>44326.648321759261</v>
      </c>
      <c r="F1200" t="s">
        <v>17</v>
      </c>
      <c r="G1200" t="s">
        <v>59</v>
      </c>
      <c r="H1200" s="1">
        <v>44326.53125</v>
      </c>
      <c r="I1200" s="1">
        <v>44326.666666666664</v>
      </c>
      <c r="J1200" s="4">
        <f t="shared" si="18"/>
        <v>0.13541666666424135</v>
      </c>
      <c r="K1200" t="s">
        <v>195</v>
      </c>
      <c r="M1200">
        <v>3</v>
      </c>
      <c r="N1200" s="6">
        <v>0</v>
      </c>
      <c r="Q1200" s="2" t="s">
        <v>19</v>
      </c>
    </row>
    <row r="1201" spans="1:17" ht="68" x14ac:dyDescent="0.2">
      <c r="A1201" t="s">
        <v>189</v>
      </c>
      <c r="B1201" t="s">
        <v>134</v>
      </c>
      <c r="C1201" t="s">
        <v>16</v>
      </c>
      <c r="D1201" s="3">
        <v>44327</v>
      </c>
      <c r="E1201" s="1">
        <v>44327.861203703702</v>
      </c>
      <c r="F1201" t="s">
        <v>17</v>
      </c>
      <c r="G1201" t="s">
        <v>68</v>
      </c>
      <c r="H1201" s="1">
        <v>44327.541666666664</v>
      </c>
      <c r="I1201" s="1">
        <v>44327.583333333336</v>
      </c>
      <c r="J1201" s="4">
        <f t="shared" si="18"/>
        <v>4.1666666671517305E-2</v>
      </c>
      <c r="K1201" t="s">
        <v>192</v>
      </c>
      <c r="M1201">
        <v>0</v>
      </c>
      <c r="N1201" s="6">
        <v>0</v>
      </c>
      <c r="Q1201" s="2" t="s">
        <v>19</v>
      </c>
    </row>
    <row r="1202" spans="1:17" ht="68" x14ac:dyDescent="0.2">
      <c r="A1202" t="s">
        <v>189</v>
      </c>
      <c r="B1202" t="s">
        <v>134</v>
      </c>
      <c r="C1202" t="s">
        <v>16</v>
      </c>
      <c r="D1202" s="3">
        <v>44328</v>
      </c>
      <c r="E1202" s="1">
        <v>44328.656898148147</v>
      </c>
      <c r="F1202" t="s">
        <v>17</v>
      </c>
      <c r="G1202" t="s">
        <v>45</v>
      </c>
      <c r="H1202" s="1">
        <v>44328.53125</v>
      </c>
      <c r="I1202" s="1">
        <v>44328.666666666664</v>
      </c>
      <c r="J1202" s="4">
        <f t="shared" si="18"/>
        <v>0.13541666666424135</v>
      </c>
      <c r="K1202" t="s">
        <v>195</v>
      </c>
      <c r="M1202">
        <v>1</v>
      </c>
      <c r="N1202" s="6">
        <v>0</v>
      </c>
      <c r="Q1202" s="2" t="s">
        <v>19</v>
      </c>
    </row>
    <row r="1203" spans="1:17" ht="68" x14ac:dyDescent="0.2">
      <c r="A1203" t="s">
        <v>189</v>
      </c>
      <c r="B1203" t="s">
        <v>134</v>
      </c>
      <c r="C1203" t="s">
        <v>16</v>
      </c>
      <c r="D1203" s="3">
        <v>44334</v>
      </c>
      <c r="E1203" s="1">
        <v>44334.486666666664</v>
      </c>
      <c r="F1203" t="s">
        <v>17</v>
      </c>
      <c r="G1203" t="s">
        <v>55</v>
      </c>
      <c r="H1203" s="1">
        <v>44334.375</v>
      </c>
      <c r="I1203" s="1">
        <v>44334.489583333336</v>
      </c>
      <c r="J1203" s="4">
        <f t="shared" si="18"/>
        <v>0.11458333333575865</v>
      </c>
      <c r="K1203" t="s">
        <v>200</v>
      </c>
      <c r="M1203">
        <v>1</v>
      </c>
      <c r="N1203" s="6">
        <v>0</v>
      </c>
      <c r="Q1203" s="2" t="s">
        <v>19</v>
      </c>
    </row>
    <row r="1204" spans="1:17" ht="68" x14ac:dyDescent="0.2">
      <c r="A1204" t="s">
        <v>189</v>
      </c>
      <c r="B1204" t="s">
        <v>134</v>
      </c>
      <c r="C1204" t="s">
        <v>16</v>
      </c>
      <c r="D1204" s="3">
        <v>44334</v>
      </c>
      <c r="E1204" s="1">
        <v>44334.668252314812</v>
      </c>
      <c r="F1204" t="s">
        <v>17</v>
      </c>
      <c r="G1204" t="s">
        <v>69</v>
      </c>
      <c r="H1204" s="1">
        <v>44334.541666666664</v>
      </c>
      <c r="I1204" s="1">
        <v>44334.666666666664</v>
      </c>
      <c r="J1204" s="4">
        <f t="shared" si="18"/>
        <v>0.125</v>
      </c>
      <c r="K1204" t="s">
        <v>192</v>
      </c>
      <c r="M1204">
        <v>0</v>
      </c>
      <c r="N1204" s="6">
        <v>0</v>
      </c>
      <c r="Q1204" s="2" t="s">
        <v>19</v>
      </c>
    </row>
    <row r="1205" spans="1:17" ht="68" x14ac:dyDescent="0.2">
      <c r="A1205" t="s">
        <v>189</v>
      </c>
      <c r="B1205" t="s">
        <v>134</v>
      </c>
      <c r="C1205" t="s">
        <v>16</v>
      </c>
      <c r="D1205" s="3">
        <v>44335</v>
      </c>
      <c r="E1205" s="1">
        <v>44335.661666666667</v>
      </c>
      <c r="F1205" t="s">
        <v>17</v>
      </c>
      <c r="G1205" t="s">
        <v>70</v>
      </c>
      <c r="H1205" s="1">
        <v>44335.53125</v>
      </c>
      <c r="I1205" s="1">
        <v>44335.65625</v>
      </c>
      <c r="J1205" s="4">
        <f t="shared" si="18"/>
        <v>0.125</v>
      </c>
      <c r="K1205" t="s">
        <v>200</v>
      </c>
      <c r="M1205">
        <v>0</v>
      </c>
      <c r="N1205" s="6">
        <v>0</v>
      </c>
      <c r="Q1205" s="2" t="s">
        <v>19</v>
      </c>
    </row>
    <row r="1206" spans="1:17" ht="68" x14ac:dyDescent="0.2">
      <c r="A1206" t="s">
        <v>189</v>
      </c>
      <c r="B1206" t="s">
        <v>134</v>
      </c>
      <c r="C1206" t="s">
        <v>16</v>
      </c>
      <c r="D1206" s="3">
        <v>44336</v>
      </c>
      <c r="E1206" s="1">
        <v>44336.488599537035</v>
      </c>
      <c r="F1206" t="s">
        <v>17</v>
      </c>
      <c r="G1206" t="s">
        <v>52</v>
      </c>
      <c r="H1206" s="1">
        <v>44336.375</v>
      </c>
      <c r="I1206" s="1">
        <v>44336.489583333336</v>
      </c>
      <c r="J1206" s="4">
        <f t="shared" si="18"/>
        <v>0.11458333333575865</v>
      </c>
      <c r="K1206" t="s">
        <v>200</v>
      </c>
      <c r="M1206">
        <v>0</v>
      </c>
      <c r="N1206" s="6">
        <v>0</v>
      </c>
      <c r="Q1206" s="2" t="s">
        <v>19</v>
      </c>
    </row>
    <row r="1207" spans="1:17" ht="68" x14ac:dyDescent="0.2">
      <c r="A1207" t="s">
        <v>189</v>
      </c>
      <c r="B1207" t="s">
        <v>134</v>
      </c>
      <c r="C1207" t="s">
        <v>16</v>
      </c>
      <c r="D1207" s="3">
        <v>44336</v>
      </c>
      <c r="E1207" s="1">
        <v>44336.652418981481</v>
      </c>
      <c r="F1207" t="s">
        <v>17</v>
      </c>
      <c r="G1207" t="s">
        <v>59</v>
      </c>
      <c r="H1207" s="1">
        <v>44336.53125</v>
      </c>
      <c r="I1207" s="1">
        <v>44336.65625</v>
      </c>
      <c r="J1207" s="4">
        <f t="shared" si="18"/>
        <v>0.125</v>
      </c>
      <c r="K1207" t="s">
        <v>192</v>
      </c>
      <c r="M1207">
        <v>2</v>
      </c>
      <c r="N1207" s="6">
        <v>0</v>
      </c>
      <c r="Q1207" s="2" t="s">
        <v>19</v>
      </c>
    </row>
    <row r="1208" spans="1:17" ht="68" x14ac:dyDescent="0.2">
      <c r="A1208" t="s">
        <v>189</v>
      </c>
      <c r="B1208" t="s">
        <v>134</v>
      </c>
      <c r="C1208" t="s">
        <v>16</v>
      </c>
      <c r="D1208" s="3">
        <v>44337</v>
      </c>
      <c r="E1208" s="1">
        <v>44337.485613425924</v>
      </c>
      <c r="F1208" t="s">
        <v>17</v>
      </c>
      <c r="G1208" t="s">
        <v>44</v>
      </c>
      <c r="H1208" s="1">
        <v>44337.375</v>
      </c>
      <c r="I1208" s="1">
        <v>44337.489583333336</v>
      </c>
      <c r="J1208" s="4">
        <f t="shared" si="18"/>
        <v>0.11458333333575865</v>
      </c>
      <c r="K1208" t="s">
        <v>199</v>
      </c>
      <c r="M1208">
        <v>0</v>
      </c>
      <c r="N1208" s="6">
        <v>0</v>
      </c>
      <c r="Q1208" s="2" t="s">
        <v>19</v>
      </c>
    </row>
    <row r="1209" spans="1:17" ht="68" x14ac:dyDescent="0.2">
      <c r="A1209" t="s">
        <v>189</v>
      </c>
      <c r="B1209" t="s">
        <v>134</v>
      </c>
      <c r="C1209" t="s">
        <v>16</v>
      </c>
      <c r="D1209" s="3">
        <v>44338</v>
      </c>
      <c r="E1209" s="1">
        <v>44338.493819444448</v>
      </c>
      <c r="F1209" t="s">
        <v>17</v>
      </c>
      <c r="G1209" t="s">
        <v>47</v>
      </c>
      <c r="H1209" s="1">
        <v>44338.375</v>
      </c>
      <c r="I1209" s="1">
        <v>44338.489583333336</v>
      </c>
      <c r="J1209" s="4">
        <f t="shared" si="18"/>
        <v>0.11458333333575865</v>
      </c>
      <c r="K1209" t="s">
        <v>209</v>
      </c>
      <c r="M1209">
        <v>4</v>
      </c>
      <c r="N1209" s="6">
        <v>0</v>
      </c>
      <c r="Q1209" s="2" t="s">
        <v>19</v>
      </c>
    </row>
    <row r="1210" spans="1:17" ht="68" x14ac:dyDescent="0.2">
      <c r="A1210" t="s">
        <v>189</v>
      </c>
      <c r="B1210" t="s">
        <v>134</v>
      </c>
      <c r="C1210" t="s">
        <v>16</v>
      </c>
      <c r="D1210" s="3">
        <v>44338</v>
      </c>
      <c r="E1210" s="1">
        <v>44338.631782407407</v>
      </c>
      <c r="F1210" t="s">
        <v>17</v>
      </c>
      <c r="G1210" t="s">
        <v>42</v>
      </c>
      <c r="H1210" s="1">
        <v>44338.53125</v>
      </c>
      <c r="I1210" s="1">
        <v>44338.645833333336</v>
      </c>
      <c r="J1210" s="4">
        <f t="shared" si="18"/>
        <v>0.11458333333575865</v>
      </c>
      <c r="K1210" t="s">
        <v>210</v>
      </c>
      <c r="M1210">
        <v>0</v>
      </c>
      <c r="N1210" s="6">
        <v>0</v>
      </c>
      <c r="Q1210" s="2" t="s">
        <v>19</v>
      </c>
    </row>
    <row r="1211" spans="1:17" ht="68" x14ac:dyDescent="0.2">
      <c r="A1211" t="s">
        <v>189</v>
      </c>
      <c r="B1211" t="s">
        <v>134</v>
      </c>
      <c r="C1211" t="s">
        <v>16</v>
      </c>
      <c r="D1211" s="3">
        <v>44340</v>
      </c>
      <c r="E1211" s="1">
        <v>44340.499120370368</v>
      </c>
      <c r="F1211" t="s">
        <v>17</v>
      </c>
      <c r="G1211" t="s">
        <v>71</v>
      </c>
      <c r="H1211" s="1">
        <v>44340.375</v>
      </c>
      <c r="I1211" s="1">
        <v>44340.489583333336</v>
      </c>
      <c r="J1211" s="4">
        <f t="shared" si="18"/>
        <v>0.11458333333575865</v>
      </c>
      <c r="K1211" t="s">
        <v>211</v>
      </c>
      <c r="M1211">
        <v>2</v>
      </c>
      <c r="N1211" s="6">
        <v>0</v>
      </c>
      <c r="Q1211" s="2" t="s">
        <v>19</v>
      </c>
    </row>
    <row r="1212" spans="1:17" ht="68" x14ac:dyDescent="0.2">
      <c r="A1212" t="s">
        <v>189</v>
      </c>
      <c r="B1212" t="s">
        <v>134</v>
      </c>
      <c r="C1212" t="s">
        <v>16</v>
      </c>
      <c r="D1212" s="3">
        <v>44340</v>
      </c>
      <c r="E1212" s="1">
        <v>44340.510868055557</v>
      </c>
      <c r="F1212" t="s">
        <v>17</v>
      </c>
      <c r="G1212" t="s">
        <v>71</v>
      </c>
      <c r="H1212" s="1">
        <v>44340.375</v>
      </c>
      <c r="I1212" s="1">
        <v>44340.489583333336</v>
      </c>
      <c r="J1212" s="4">
        <f t="shared" si="18"/>
        <v>0.11458333333575865</v>
      </c>
      <c r="K1212" t="s">
        <v>211</v>
      </c>
      <c r="M1212">
        <v>0</v>
      </c>
      <c r="N1212" s="5" t="s">
        <v>144</v>
      </c>
      <c r="Q1212" s="2" t="s">
        <v>19</v>
      </c>
    </row>
    <row r="1213" spans="1:17" ht="68" x14ac:dyDescent="0.2">
      <c r="A1213" t="s">
        <v>189</v>
      </c>
      <c r="B1213" t="s">
        <v>134</v>
      </c>
      <c r="C1213" t="s">
        <v>16</v>
      </c>
      <c r="D1213" s="3">
        <v>44340</v>
      </c>
      <c r="E1213" s="1">
        <v>44340.660497685189</v>
      </c>
      <c r="F1213" t="s">
        <v>17</v>
      </c>
      <c r="G1213" t="s">
        <v>56</v>
      </c>
      <c r="H1213" s="1">
        <v>44340.53125</v>
      </c>
      <c r="I1213" s="1">
        <v>44340.666666666664</v>
      </c>
      <c r="J1213" s="4">
        <f t="shared" si="18"/>
        <v>0.13541666666424135</v>
      </c>
      <c r="K1213" t="s">
        <v>200</v>
      </c>
      <c r="M1213">
        <v>0</v>
      </c>
      <c r="N1213" s="6">
        <v>0</v>
      </c>
      <c r="Q1213" s="2" t="s">
        <v>19</v>
      </c>
    </row>
    <row r="1214" spans="1:17" ht="68" x14ac:dyDescent="0.2">
      <c r="A1214" t="s">
        <v>189</v>
      </c>
      <c r="B1214" t="s">
        <v>134</v>
      </c>
      <c r="C1214" t="s">
        <v>16</v>
      </c>
      <c r="D1214" s="3">
        <v>44341</v>
      </c>
      <c r="E1214" s="1">
        <v>44341.488067129627</v>
      </c>
      <c r="F1214" t="s">
        <v>17</v>
      </c>
      <c r="G1214" t="s">
        <v>55</v>
      </c>
      <c r="H1214" s="1">
        <v>44341.383333333331</v>
      </c>
      <c r="I1214" s="1">
        <v>44341.404166666667</v>
      </c>
      <c r="J1214" s="4">
        <f t="shared" si="18"/>
        <v>2.0833333335758653E-2</v>
      </c>
      <c r="K1214" t="s">
        <v>200</v>
      </c>
      <c r="M1214">
        <v>0</v>
      </c>
      <c r="N1214" s="5" t="s">
        <v>144</v>
      </c>
      <c r="Q1214" s="2" t="s">
        <v>19</v>
      </c>
    </row>
    <row r="1215" spans="1:17" ht="68" x14ac:dyDescent="0.2">
      <c r="A1215" t="s">
        <v>189</v>
      </c>
      <c r="B1215" t="s">
        <v>134</v>
      </c>
      <c r="C1215" t="s">
        <v>16</v>
      </c>
      <c r="D1215" s="3">
        <v>44341</v>
      </c>
      <c r="E1215" s="1">
        <v>44341.660138888888</v>
      </c>
      <c r="F1215" t="s">
        <v>17</v>
      </c>
      <c r="G1215" t="s">
        <v>68</v>
      </c>
      <c r="H1215" s="1">
        <v>44341.541666666664</v>
      </c>
      <c r="I1215" s="1">
        <v>44341.666666666664</v>
      </c>
      <c r="J1215" s="4">
        <f t="shared" si="18"/>
        <v>0.125</v>
      </c>
      <c r="K1215" t="s">
        <v>192</v>
      </c>
      <c r="M1215">
        <v>0</v>
      </c>
      <c r="N1215" s="6">
        <v>0</v>
      </c>
      <c r="Q1215" s="2" t="s">
        <v>19</v>
      </c>
    </row>
    <row r="1216" spans="1:17" ht="68" x14ac:dyDescent="0.2">
      <c r="A1216" t="s">
        <v>189</v>
      </c>
      <c r="B1216" t="s">
        <v>134</v>
      </c>
      <c r="C1216" t="s">
        <v>16</v>
      </c>
      <c r="D1216" s="3">
        <v>44342</v>
      </c>
      <c r="E1216" s="1">
        <v>44342.493923611109</v>
      </c>
      <c r="F1216" t="s">
        <v>17</v>
      </c>
      <c r="G1216" t="s">
        <v>72</v>
      </c>
      <c r="H1216" s="1">
        <v>44342.375</v>
      </c>
      <c r="I1216" s="1">
        <v>44342.5</v>
      </c>
      <c r="J1216" s="4">
        <f t="shared" si="18"/>
        <v>0.125</v>
      </c>
      <c r="K1216" t="s">
        <v>212</v>
      </c>
      <c r="M1216">
        <v>0</v>
      </c>
      <c r="N1216" s="6">
        <v>0</v>
      </c>
      <c r="Q1216" s="2" t="s">
        <v>19</v>
      </c>
    </row>
    <row r="1217" spans="1:17" ht="68" x14ac:dyDescent="0.2">
      <c r="A1217" t="s">
        <v>189</v>
      </c>
      <c r="B1217" t="s">
        <v>134</v>
      </c>
      <c r="C1217" t="s">
        <v>16</v>
      </c>
      <c r="D1217" s="3">
        <v>44342</v>
      </c>
      <c r="E1217" s="1">
        <v>44342.66070601852</v>
      </c>
      <c r="F1217" t="s">
        <v>17</v>
      </c>
      <c r="G1217" t="s">
        <v>35</v>
      </c>
      <c r="H1217" s="1">
        <v>44342.53125</v>
      </c>
      <c r="I1217" s="1">
        <v>44342.666666666664</v>
      </c>
      <c r="J1217" s="4">
        <f t="shared" si="18"/>
        <v>0.13541666666424135</v>
      </c>
      <c r="K1217" t="s">
        <v>200</v>
      </c>
      <c r="M1217">
        <v>0</v>
      </c>
      <c r="N1217" s="6">
        <v>0</v>
      </c>
      <c r="Q1217" s="2" t="s">
        <v>19</v>
      </c>
    </row>
    <row r="1218" spans="1:17" ht="68" x14ac:dyDescent="0.2">
      <c r="A1218" t="s">
        <v>189</v>
      </c>
      <c r="B1218" t="s">
        <v>134</v>
      </c>
      <c r="C1218" t="s">
        <v>16</v>
      </c>
      <c r="D1218" s="3">
        <v>44343</v>
      </c>
      <c r="E1218" s="1">
        <v>44343.486550925925</v>
      </c>
      <c r="F1218" t="s">
        <v>17</v>
      </c>
      <c r="G1218" t="s">
        <v>73</v>
      </c>
      <c r="H1218" s="1">
        <v>44343.375</v>
      </c>
      <c r="I1218" s="1">
        <v>44343.489583333336</v>
      </c>
      <c r="J1218" s="4">
        <f t="shared" si="18"/>
        <v>0.11458333333575865</v>
      </c>
      <c r="K1218" t="s">
        <v>196</v>
      </c>
      <c r="M1218">
        <v>1</v>
      </c>
      <c r="N1218" s="6">
        <v>0</v>
      </c>
      <c r="Q1218" s="2" t="s">
        <v>19</v>
      </c>
    </row>
    <row r="1219" spans="1:17" ht="68" x14ac:dyDescent="0.2">
      <c r="A1219" t="s">
        <v>189</v>
      </c>
      <c r="B1219" t="s">
        <v>134</v>
      </c>
      <c r="C1219" t="s">
        <v>16</v>
      </c>
      <c r="D1219" s="3">
        <v>44343</v>
      </c>
      <c r="E1219" s="1">
        <v>44343.486574074072</v>
      </c>
      <c r="F1219" t="s">
        <v>17</v>
      </c>
      <c r="G1219" t="s">
        <v>73</v>
      </c>
      <c r="H1219" s="1">
        <v>44343.375</v>
      </c>
      <c r="I1219" s="1">
        <v>44343.489583333336</v>
      </c>
      <c r="J1219" s="4">
        <f t="shared" ref="J1219:J1282" si="19">IF($I1219="","",$I1219-$H1219)</f>
        <v>0.11458333333575865</v>
      </c>
      <c r="K1219" t="s">
        <v>196</v>
      </c>
      <c r="M1219">
        <v>0</v>
      </c>
      <c r="N1219" s="5" t="s">
        <v>144</v>
      </c>
      <c r="Q1219" s="2" t="s">
        <v>19</v>
      </c>
    </row>
    <row r="1220" spans="1:17" ht="68" x14ac:dyDescent="0.2">
      <c r="A1220" t="s">
        <v>189</v>
      </c>
      <c r="B1220" t="s">
        <v>134</v>
      </c>
      <c r="C1220" t="s">
        <v>16</v>
      </c>
      <c r="D1220" s="3">
        <v>44344</v>
      </c>
      <c r="E1220" s="1">
        <v>44344.488379629627</v>
      </c>
      <c r="F1220" t="s">
        <v>17</v>
      </c>
      <c r="G1220" t="s">
        <v>53</v>
      </c>
      <c r="H1220" s="1">
        <v>44344.375</v>
      </c>
      <c r="I1220" s="1">
        <v>44344.489583333336</v>
      </c>
      <c r="J1220" s="4">
        <f t="shared" si="19"/>
        <v>0.11458333333575865</v>
      </c>
      <c r="K1220" t="s">
        <v>199</v>
      </c>
      <c r="M1220">
        <v>0</v>
      </c>
      <c r="N1220" s="6">
        <v>0</v>
      </c>
      <c r="Q1220" s="2" t="s">
        <v>19</v>
      </c>
    </row>
    <row r="1221" spans="1:17" ht="68" x14ac:dyDescent="0.2">
      <c r="A1221" t="s">
        <v>189</v>
      </c>
      <c r="B1221" t="s">
        <v>134</v>
      </c>
      <c r="C1221" t="s">
        <v>16</v>
      </c>
      <c r="D1221" s="3">
        <v>44344</v>
      </c>
      <c r="E1221" s="1">
        <v>44344.659548611111</v>
      </c>
      <c r="F1221" t="s">
        <v>17</v>
      </c>
      <c r="G1221" t="s">
        <v>106</v>
      </c>
      <c r="H1221" s="1">
        <v>44344.552083333336</v>
      </c>
      <c r="I1221" s="1">
        <v>44344.666666666664</v>
      </c>
      <c r="J1221" s="4">
        <f t="shared" si="19"/>
        <v>0.11458333332848269</v>
      </c>
      <c r="K1221" t="s">
        <v>221</v>
      </c>
      <c r="M1221">
        <v>0</v>
      </c>
      <c r="N1221" s="6">
        <v>0</v>
      </c>
      <c r="Q1221" s="2" t="s">
        <v>19</v>
      </c>
    </row>
    <row r="1222" spans="1:17" ht="68" x14ac:dyDescent="0.2">
      <c r="A1222" t="s">
        <v>189</v>
      </c>
      <c r="B1222" t="s">
        <v>134</v>
      </c>
      <c r="C1222" t="s">
        <v>16</v>
      </c>
      <c r="D1222" s="3">
        <v>44348</v>
      </c>
      <c r="E1222" s="1">
        <v>44348.490902777776</v>
      </c>
      <c r="F1222" t="s">
        <v>17</v>
      </c>
      <c r="G1222" t="s">
        <v>53</v>
      </c>
      <c r="H1222" s="1">
        <v>44348.378472222219</v>
      </c>
      <c r="I1222" s="1">
        <v>44348.490972222222</v>
      </c>
      <c r="J1222" s="4">
        <f t="shared" si="19"/>
        <v>0.11250000000291038</v>
      </c>
      <c r="K1222" t="s">
        <v>213</v>
      </c>
      <c r="M1222">
        <v>0</v>
      </c>
      <c r="N1222" s="5" t="s">
        <v>144</v>
      </c>
      <c r="Q1222" s="2" t="s">
        <v>19</v>
      </c>
    </row>
    <row r="1223" spans="1:17" ht="68" x14ac:dyDescent="0.2">
      <c r="A1223" t="s">
        <v>189</v>
      </c>
      <c r="B1223" t="s">
        <v>134</v>
      </c>
      <c r="C1223" t="s">
        <v>16</v>
      </c>
      <c r="D1223" s="3">
        <v>44348</v>
      </c>
      <c r="E1223" s="1">
        <v>44348.643958333334</v>
      </c>
      <c r="F1223" t="s">
        <v>17</v>
      </c>
      <c r="G1223" t="s">
        <v>74</v>
      </c>
      <c r="H1223" s="1">
        <v>44348.541666666664</v>
      </c>
      <c r="I1223" s="1">
        <v>44348.645833333336</v>
      </c>
      <c r="J1223" s="4">
        <f t="shared" si="19"/>
        <v>0.10416666667151731</v>
      </c>
      <c r="K1223" t="s">
        <v>192</v>
      </c>
      <c r="M1223">
        <v>0</v>
      </c>
      <c r="N1223" s="6">
        <v>0</v>
      </c>
      <c r="Q1223" s="2" t="s">
        <v>19</v>
      </c>
    </row>
    <row r="1224" spans="1:17" ht="68" x14ac:dyDescent="0.2">
      <c r="A1224" t="s">
        <v>189</v>
      </c>
      <c r="B1224" t="s">
        <v>134</v>
      </c>
      <c r="C1224" t="s">
        <v>16</v>
      </c>
      <c r="D1224" s="3">
        <v>44348</v>
      </c>
      <c r="E1224" s="1">
        <v>44348.667546296296</v>
      </c>
      <c r="F1224" t="s">
        <v>17</v>
      </c>
      <c r="G1224" t="s">
        <v>75</v>
      </c>
      <c r="H1224" s="1">
        <v>44348.645833333336</v>
      </c>
      <c r="I1224" s="1">
        <v>44348.666666666664</v>
      </c>
      <c r="J1224" s="4">
        <f t="shared" si="19"/>
        <v>2.0833333328482695E-2</v>
      </c>
      <c r="K1224" t="s">
        <v>214</v>
      </c>
      <c r="M1224">
        <v>1</v>
      </c>
      <c r="N1224" s="6">
        <v>0</v>
      </c>
      <c r="Q1224" s="2" t="s">
        <v>19</v>
      </c>
    </row>
    <row r="1225" spans="1:17" ht="68" x14ac:dyDescent="0.2">
      <c r="A1225" t="s">
        <v>189</v>
      </c>
      <c r="B1225" t="s">
        <v>134</v>
      </c>
      <c r="C1225" t="s">
        <v>16</v>
      </c>
      <c r="D1225" s="3">
        <v>44349</v>
      </c>
      <c r="E1225" s="1">
        <v>44349.484976851854</v>
      </c>
      <c r="F1225" t="s">
        <v>17</v>
      </c>
      <c r="G1225" t="s">
        <v>76</v>
      </c>
      <c r="H1225" s="1">
        <v>44349.376388888886</v>
      </c>
      <c r="I1225" s="1">
        <v>44349.489583333336</v>
      </c>
      <c r="J1225" s="4">
        <f t="shared" si="19"/>
        <v>0.11319444444961846</v>
      </c>
      <c r="K1225" t="s">
        <v>197</v>
      </c>
      <c r="M1225">
        <v>0</v>
      </c>
      <c r="N1225" s="6">
        <v>0</v>
      </c>
      <c r="Q1225" s="2" t="s">
        <v>19</v>
      </c>
    </row>
    <row r="1226" spans="1:17" ht="68" x14ac:dyDescent="0.2">
      <c r="A1226" t="s">
        <v>189</v>
      </c>
      <c r="B1226" t="s">
        <v>134</v>
      </c>
      <c r="C1226" t="s">
        <v>16</v>
      </c>
      <c r="D1226" s="3">
        <v>44349</v>
      </c>
      <c r="E1226" s="1">
        <v>44349.668842592589</v>
      </c>
      <c r="F1226" t="s">
        <v>17</v>
      </c>
      <c r="G1226" t="s">
        <v>37</v>
      </c>
      <c r="H1226" s="1">
        <v>44349.53125</v>
      </c>
      <c r="I1226" s="1">
        <v>44349.645833333336</v>
      </c>
      <c r="J1226" s="4">
        <f t="shared" si="19"/>
        <v>0.11458333333575865</v>
      </c>
      <c r="K1226" t="s">
        <v>192</v>
      </c>
      <c r="M1226">
        <v>0</v>
      </c>
      <c r="N1226" s="6">
        <v>0</v>
      </c>
      <c r="Q1226" s="2" t="s">
        <v>19</v>
      </c>
    </row>
    <row r="1227" spans="1:17" ht="68" x14ac:dyDescent="0.2">
      <c r="A1227" t="s">
        <v>189</v>
      </c>
      <c r="B1227" t="s">
        <v>134</v>
      </c>
      <c r="C1227" t="s">
        <v>16</v>
      </c>
      <c r="D1227" s="3">
        <v>44350</v>
      </c>
      <c r="E1227" s="1">
        <v>44350.470081018517</v>
      </c>
      <c r="F1227" t="s">
        <v>17</v>
      </c>
      <c r="G1227" t="s">
        <v>77</v>
      </c>
      <c r="H1227" s="1">
        <v>44350.333333333336</v>
      </c>
      <c r="I1227" s="1">
        <v>44350.479166666664</v>
      </c>
      <c r="J1227" s="4">
        <f t="shared" si="19"/>
        <v>0.14583333332848269</v>
      </c>
      <c r="K1227" t="s">
        <v>191</v>
      </c>
      <c r="M1227">
        <v>0</v>
      </c>
      <c r="N1227" s="6">
        <v>0</v>
      </c>
      <c r="Q1227" s="2" t="s">
        <v>19</v>
      </c>
    </row>
    <row r="1228" spans="1:17" ht="68" x14ac:dyDescent="0.2">
      <c r="A1228" t="s">
        <v>189</v>
      </c>
      <c r="B1228" t="s">
        <v>134</v>
      </c>
      <c r="C1228" t="s">
        <v>16</v>
      </c>
      <c r="D1228" s="3">
        <v>44351</v>
      </c>
      <c r="E1228" s="1">
        <v>44351.488993055558</v>
      </c>
      <c r="F1228" t="s">
        <v>17</v>
      </c>
      <c r="G1228" t="s">
        <v>63</v>
      </c>
      <c r="H1228" s="1">
        <v>44351.375</v>
      </c>
      <c r="I1228" s="1">
        <v>44351.489583333336</v>
      </c>
      <c r="J1228" s="4">
        <f t="shared" si="19"/>
        <v>0.11458333333575865</v>
      </c>
      <c r="K1228" t="s">
        <v>199</v>
      </c>
      <c r="M1228">
        <v>5</v>
      </c>
      <c r="N1228" s="6">
        <v>0</v>
      </c>
      <c r="Q1228" s="2" t="s">
        <v>19</v>
      </c>
    </row>
    <row r="1229" spans="1:17" ht="68" x14ac:dyDescent="0.2">
      <c r="A1229" t="s">
        <v>189</v>
      </c>
      <c r="B1229" t="s">
        <v>134</v>
      </c>
      <c r="C1229" t="s">
        <v>16</v>
      </c>
      <c r="D1229" s="3">
        <v>44351</v>
      </c>
      <c r="E1229" s="1">
        <v>44351.658449074072</v>
      </c>
      <c r="F1229" t="s">
        <v>17</v>
      </c>
      <c r="G1229" t="s">
        <v>45</v>
      </c>
      <c r="H1229" s="1">
        <v>44351.53125</v>
      </c>
      <c r="I1229" s="1">
        <v>44351.666666666664</v>
      </c>
      <c r="J1229" s="4">
        <f t="shared" si="19"/>
        <v>0.13541666666424135</v>
      </c>
      <c r="K1229" t="s">
        <v>195</v>
      </c>
      <c r="M1229">
        <v>0</v>
      </c>
      <c r="N1229" s="6">
        <v>0</v>
      </c>
      <c r="Q1229" s="2" t="s">
        <v>19</v>
      </c>
    </row>
    <row r="1230" spans="1:17" ht="68" x14ac:dyDescent="0.2">
      <c r="A1230" t="s">
        <v>189</v>
      </c>
      <c r="B1230" t="s">
        <v>134</v>
      </c>
      <c r="C1230" t="s">
        <v>16</v>
      </c>
      <c r="D1230" s="3">
        <v>44354</v>
      </c>
      <c r="E1230" s="1">
        <v>44354.489571759259</v>
      </c>
      <c r="F1230" t="s">
        <v>17</v>
      </c>
      <c r="G1230" t="s">
        <v>78</v>
      </c>
      <c r="H1230" s="1">
        <v>44354.375</v>
      </c>
      <c r="I1230" s="1">
        <v>44354.489583333336</v>
      </c>
      <c r="J1230" s="4">
        <f t="shared" si="19"/>
        <v>0.11458333333575865</v>
      </c>
      <c r="K1230" t="s">
        <v>215</v>
      </c>
      <c r="M1230">
        <v>0</v>
      </c>
      <c r="N1230" s="6">
        <v>0</v>
      </c>
      <c r="Q1230" s="2" t="s">
        <v>19</v>
      </c>
    </row>
    <row r="1231" spans="1:17" ht="68" x14ac:dyDescent="0.2">
      <c r="A1231" t="s">
        <v>189</v>
      </c>
      <c r="B1231" t="s">
        <v>134</v>
      </c>
      <c r="C1231" t="s">
        <v>16</v>
      </c>
      <c r="D1231" s="3">
        <v>44354</v>
      </c>
      <c r="E1231" s="1">
        <v>44354.643321759257</v>
      </c>
      <c r="F1231" t="s">
        <v>17</v>
      </c>
      <c r="G1231" t="s">
        <v>79</v>
      </c>
      <c r="H1231" s="1">
        <v>44354.530555555553</v>
      </c>
      <c r="I1231" s="1">
        <v>44354.645833333336</v>
      </c>
      <c r="J1231" s="4">
        <f t="shared" si="19"/>
        <v>0.11527777778246673</v>
      </c>
      <c r="K1231" t="s">
        <v>200</v>
      </c>
      <c r="M1231">
        <v>0</v>
      </c>
      <c r="N1231" s="6">
        <v>0</v>
      </c>
      <c r="Q1231" s="2" t="s">
        <v>19</v>
      </c>
    </row>
    <row r="1232" spans="1:17" ht="68" x14ac:dyDescent="0.2">
      <c r="A1232" t="s">
        <v>189</v>
      </c>
      <c r="B1232" t="s">
        <v>134</v>
      </c>
      <c r="C1232" t="s">
        <v>16</v>
      </c>
      <c r="D1232" s="3">
        <v>44355</v>
      </c>
      <c r="E1232" s="1">
        <v>44355.487858796296</v>
      </c>
      <c r="F1232" t="s">
        <v>17</v>
      </c>
      <c r="G1232" t="s">
        <v>80</v>
      </c>
      <c r="H1232" s="1">
        <v>44355.375</v>
      </c>
      <c r="I1232" s="1">
        <v>44355.489583333336</v>
      </c>
      <c r="J1232" s="4">
        <f t="shared" si="19"/>
        <v>0.11458333333575865</v>
      </c>
      <c r="K1232" t="s">
        <v>216</v>
      </c>
      <c r="M1232">
        <v>0</v>
      </c>
      <c r="N1232" s="6">
        <v>0</v>
      </c>
      <c r="Q1232" s="2" t="s">
        <v>19</v>
      </c>
    </row>
    <row r="1233" spans="1:17" ht="68" x14ac:dyDescent="0.2">
      <c r="A1233" t="s">
        <v>189</v>
      </c>
      <c r="B1233" t="s">
        <v>134</v>
      </c>
      <c r="C1233" t="s">
        <v>16</v>
      </c>
      <c r="D1233" s="3">
        <v>44355</v>
      </c>
      <c r="E1233" s="1">
        <v>44355.672175925924</v>
      </c>
      <c r="F1233" t="s">
        <v>17</v>
      </c>
      <c r="G1233" t="s">
        <v>48</v>
      </c>
      <c r="H1233" s="1">
        <v>44355.541666666664</v>
      </c>
      <c r="I1233" s="1">
        <v>44355.666666666664</v>
      </c>
      <c r="J1233" s="4">
        <f t="shared" si="19"/>
        <v>0.125</v>
      </c>
      <c r="K1233" t="s">
        <v>192</v>
      </c>
      <c r="M1233">
        <v>0</v>
      </c>
      <c r="N1233" s="6">
        <v>0</v>
      </c>
      <c r="Q1233" s="2" t="s">
        <v>19</v>
      </c>
    </row>
    <row r="1234" spans="1:17" ht="68" x14ac:dyDescent="0.2">
      <c r="A1234" t="s">
        <v>189</v>
      </c>
      <c r="B1234" t="s">
        <v>134</v>
      </c>
      <c r="C1234" t="s">
        <v>16</v>
      </c>
      <c r="D1234" s="3">
        <v>44356</v>
      </c>
      <c r="E1234" s="1">
        <v>44356.484953703701</v>
      </c>
      <c r="F1234" t="s">
        <v>17</v>
      </c>
      <c r="G1234" t="s">
        <v>78</v>
      </c>
      <c r="H1234" s="1">
        <v>44356.375</v>
      </c>
      <c r="I1234" s="1">
        <v>44356.489583333336</v>
      </c>
      <c r="J1234" s="4">
        <f t="shared" si="19"/>
        <v>0.11458333333575865</v>
      </c>
      <c r="K1234" t="s">
        <v>197</v>
      </c>
      <c r="M1234">
        <v>0</v>
      </c>
      <c r="N1234" s="6">
        <v>0</v>
      </c>
      <c r="Q1234" s="2" t="s">
        <v>19</v>
      </c>
    </row>
    <row r="1235" spans="1:17" ht="68" x14ac:dyDescent="0.2">
      <c r="A1235" t="s">
        <v>189</v>
      </c>
      <c r="B1235" t="s">
        <v>134</v>
      </c>
      <c r="C1235" t="s">
        <v>16</v>
      </c>
      <c r="D1235" s="3">
        <v>44356</v>
      </c>
      <c r="E1235" s="1">
        <v>44356.635416666664</v>
      </c>
      <c r="F1235" t="s">
        <v>17</v>
      </c>
      <c r="G1235" t="s">
        <v>58</v>
      </c>
      <c r="H1235" s="1">
        <v>44356.54791666667</v>
      </c>
      <c r="I1235" s="1">
        <v>44356.666666666664</v>
      </c>
      <c r="J1235" s="4">
        <f t="shared" si="19"/>
        <v>0.11874999999417923</v>
      </c>
      <c r="K1235" t="s">
        <v>200</v>
      </c>
      <c r="M1235">
        <v>0</v>
      </c>
      <c r="N1235" s="6">
        <v>0</v>
      </c>
      <c r="Q1235" s="2" t="s">
        <v>19</v>
      </c>
    </row>
    <row r="1236" spans="1:17" ht="68" x14ac:dyDescent="0.2">
      <c r="A1236" t="s">
        <v>189</v>
      </c>
      <c r="B1236" t="s">
        <v>134</v>
      </c>
      <c r="C1236" t="s">
        <v>16</v>
      </c>
      <c r="D1236" s="3">
        <v>44357</v>
      </c>
      <c r="E1236" s="1">
        <v>44357.402615740742</v>
      </c>
      <c r="F1236" t="s">
        <v>17</v>
      </c>
      <c r="G1236" t="s">
        <v>81</v>
      </c>
      <c r="H1236" s="1">
        <v>44357.333333333336</v>
      </c>
      <c r="I1236" s="1">
        <v>44357.479166666664</v>
      </c>
      <c r="J1236" s="4">
        <f t="shared" si="19"/>
        <v>0.14583333332848269</v>
      </c>
      <c r="K1236" t="s">
        <v>217</v>
      </c>
      <c r="M1236">
        <v>1</v>
      </c>
      <c r="N1236" s="6">
        <v>0</v>
      </c>
      <c r="Q1236" s="2" t="s">
        <v>19</v>
      </c>
    </row>
    <row r="1237" spans="1:17" ht="68" x14ac:dyDescent="0.2">
      <c r="A1237" t="s">
        <v>189</v>
      </c>
      <c r="B1237" t="s">
        <v>134</v>
      </c>
      <c r="C1237" t="s">
        <v>16</v>
      </c>
      <c r="D1237" s="3">
        <v>44358</v>
      </c>
      <c r="E1237" s="1">
        <v>44358.489664351851</v>
      </c>
      <c r="F1237" t="s">
        <v>17</v>
      </c>
      <c r="G1237" t="s">
        <v>53</v>
      </c>
      <c r="H1237" s="1">
        <v>44358.375</v>
      </c>
      <c r="I1237" s="1">
        <v>44358.489583333336</v>
      </c>
      <c r="J1237" s="4">
        <f t="shared" si="19"/>
        <v>0.11458333333575865</v>
      </c>
      <c r="K1237" t="s">
        <v>199</v>
      </c>
      <c r="M1237">
        <v>0</v>
      </c>
      <c r="N1237" s="6">
        <v>0</v>
      </c>
      <c r="Q1237" s="2" t="s">
        <v>19</v>
      </c>
    </row>
    <row r="1238" spans="1:17" ht="68" x14ac:dyDescent="0.2">
      <c r="A1238" t="s">
        <v>189</v>
      </c>
      <c r="B1238" t="s">
        <v>134</v>
      </c>
      <c r="C1238" t="s">
        <v>16</v>
      </c>
      <c r="D1238" s="3">
        <v>44358</v>
      </c>
      <c r="E1238" s="1">
        <v>44358.644085648149</v>
      </c>
      <c r="F1238" t="s">
        <v>17</v>
      </c>
      <c r="G1238" t="s">
        <v>82</v>
      </c>
      <c r="H1238" s="1">
        <v>44358.53125</v>
      </c>
      <c r="I1238" s="1">
        <v>44358.645833333336</v>
      </c>
      <c r="J1238" s="4">
        <f t="shared" si="19"/>
        <v>0.11458333333575865</v>
      </c>
      <c r="K1238" t="s">
        <v>200</v>
      </c>
      <c r="M1238">
        <v>0</v>
      </c>
      <c r="N1238" s="6">
        <v>0</v>
      </c>
      <c r="Q1238" s="2" t="s">
        <v>19</v>
      </c>
    </row>
    <row r="1239" spans="1:17" ht="68" x14ac:dyDescent="0.2">
      <c r="A1239" t="s">
        <v>189</v>
      </c>
      <c r="B1239" t="s">
        <v>134</v>
      </c>
      <c r="C1239" t="s">
        <v>16</v>
      </c>
      <c r="D1239" s="3">
        <v>44361</v>
      </c>
      <c r="E1239" s="1">
        <v>44361.487372685187</v>
      </c>
      <c r="F1239" t="s">
        <v>17</v>
      </c>
      <c r="G1239" t="s">
        <v>46</v>
      </c>
      <c r="H1239" s="1">
        <v>44361.375</v>
      </c>
      <c r="I1239" s="1">
        <v>44361.489583333336</v>
      </c>
      <c r="J1239" s="4">
        <f t="shared" si="19"/>
        <v>0.11458333333575865</v>
      </c>
      <c r="K1239" t="s">
        <v>199</v>
      </c>
      <c r="M1239">
        <v>0</v>
      </c>
      <c r="N1239" s="6">
        <v>0</v>
      </c>
      <c r="Q1239" s="2" t="s">
        <v>19</v>
      </c>
    </row>
    <row r="1240" spans="1:17" ht="68" x14ac:dyDescent="0.2">
      <c r="A1240" t="s">
        <v>189</v>
      </c>
      <c r="B1240" t="s">
        <v>134</v>
      </c>
      <c r="C1240" t="s">
        <v>16</v>
      </c>
      <c r="D1240" s="3">
        <v>44361</v>
      </c>
      <c r="E1240" s="1">
        <v>44361.630601851852</v>
      </c>
      <c r="F1240" t="s">
        <v>17</v>
      </c>
      <c r="G1240" t="s">
        <v>35</v>
      </c>
      <c r="H1240" s="1">
        <v>44361.537499999999</v>
      </c>
      <c r="I1240" s="1">
        <v>44361.645833333336</v>
      </c>
      <c r="J1240" s="4">
        <f t="shared" si="19"/>
        <v>0.10833333333721384</v>
      </c>
      <c r="K1240" t="s">
        <v>200</v>
      </c>
      <c r="M1240">
        <v>0</v>
      </c>
      <c r="N1240" s="6">
        <v>0</v>
      </c>
      <c r="Q1240" s="2" t="s">
        <v>19</v>
      </c>
    </row>
    <row r="1241" spans="1:17" ht="68" x14ac:dyDescent="0.2">
      <c r="A1241" t="s">
        <v>189</v>
      </c>
      <c r="B1241" t="s">
        <v>134</v>
      </c>
      <c r="C1241" t="s">
        <v>16</v>
      </c>
      <c r="D1241" s="3">
        <v>44361</v>
      </c>
      <c r="E1241" s="1">
        <v>44361.643935185188</v>
      </c>
      <c r="F1241" t="s">
        <v>17</v>
      </c>
      <c r="G1241" t="s">
        <v>35</v>
      </c>
      <c r="H1241" s="1">
        <v>44361.537499999999</v>
      </c>
      <c r="I1241" s="1">
        <v>44361.645833333336</v>
      </c>
      <c r="J1241" s="4">
        <f t="shared" si="19"/>
        <v>0.10833333333721384</v>
      </c>
      <c r="K1241" t="s">
        <v>200</v>
      </c>
      <c r="M1241">
        <v>0</v>
      </c>
      <c r="N1241" s="6">
        <v>0</v>
      </c>
      <c r="Q1241" s="2" t="s">
        <v>19</v>
      </c>
    </row>
    <row r="1242" spans="1:17" ht="68" x14ac:dyDescent="0.2">
      <c r="A1242" t="s">
        <v>189</v>
      </c>
      <c r="B1242" t="s">
        <v>134</v>
      </c>
      <c r="C1242" t="s">
        <v>16</v>
      </c>
      <c r="D1242" s="3">
        <v>44363</v>
      </c>
      <c r="E1242" s="1">
        <v>44363.662743055553</v>
      </c>
      <c r="F1242" t="s">
        <v>17</v>
      </c>
      <c r="G1242" t="s">
        <v>79</v>
      </c>
      <c r="H1242" s="1">
        <v>44363.53125</v>
      </c>
      <c r="I1242" s="1">
        <v>44363.666666666664</v>
      </c>
      <c r="J1242" s="4">
        <f t="shared" si="19"/>
        <v>0.13541666666424135</v>
      </c>
      <c r="K1242" t="s">
        <v>200</v>
      </c>
      <c r="M1242">
        <v>0</v>
      </c>
      <c r="N1242" s="6">
        <v>0</v>
      </c>
      <c r="Q1242" s="2" t="s">
        <v>19</v>
      </c>
    </row>
    <row r="1243" spans="1:17" ht="68" x14ac:dyDescent="0.2">
      <c r="A1243" t="s">
        <v>189</v>
      </c>
      <c r="B1243" t="s">
        <v>134</v>
      </c>
      <c r="C1243" t="s">
        <v>16</v>
      </c>
      <c r="D1243" s="3">
        <v>44364</v>
      </c>
      <c r="E1243" s="1">
        <v>44364.49181712963</v>
      </c>
      <c r="F1243" t="s">
        <v>17</v>
      </c>
      <c r="G1243" t="s">
        <v>77</v>
      </c>
      <c r="H1243" s="1">
        <v>44364.333333333336</v>
      </c>
      <c r="I1243" s="1">
        <v>44364.479166666664</v>
      </c>
      <c r="J1243" s="4">
        <f t="shared" si="19"/>
        <v>0.14583333332848269</v>
      </c>
      <c r="K1243" t="s">
        <v>217</v>
      </c>
      <c r="M1243">
        <v>1</v>
      </c>
      <c r="N1243" s="6">
        <v>0</v>
      </c>
      <c r="Q1243" s="2" t="s">
        <v>19</v>
      </c>
    </row>
    <row r="1244" spans="1:17" ht="68" x14ac:dyDescent="0.2">
      <c r="A1244" t="s">
        <v>189</v>
      </c>
      <c r="B1244" t="s">
        <v>134</v>
      </c>
      <c r="C1244" t="s">
        <v>16</v>
      </c>
      <c r="D1244" s="3">
        <v>44365</v>
      </c>
      <c r="E1244" s="1">
        <v>44365.490694444445</v>
      </c>
      <c r="F1244" t="s">
        <v>17</v>
      </c>
      <c r="G1244" t="s">
        <v>64</v>
      </c>
      <c r="H1244" s="1">
        <v>44365.375</v>
      </c>
      <c r="I1244" s="1">
        <v>44365.489583333336</v>
      </c>
      <c r="J1244" s="4">
        <f t="shared" si="19"/>
        <v>0.11458333333575865</v>
      </c>
      <c r="K1244" t="s">
        <v>218</v>
      </c>
      <c r="M1244">
        <v>0</v>
      </c>
      <c r="N1244" s="6">
        <v>0</v>
      </c>
      <c r="Q1244" s="2" t="s">
        <v>19</v>
      </c>
    </row>
    <row r="1245" spans="1:17" ht="68" x14ac:dyDescent="0.2">
      <c r="A1245" t="s">
        <v>189</v>
      </c>
      <c r="B1245" t="s">
        <v>134</v>
      </c>
      <c r="C1245" t="s">
        <v>16</v>
      </c>
      <c r="D1245" s="3">
        <v>44365</v>
      </c>
      <c r="E1245" s="1">
        <v>44365.658599537041</v>
      </c>
      <c r="F1245" t="s">
        <v>17</v>
      </c>
      <c r="G1245" t="s">
        <v>83</v>
      </c>
      <c r="H1245" s="1">
        <v>44365.53125</v>
      </c>
      <c r="I1245" s="1">
        <v>44365.666666666664</v>
      </c>
      <c r="J1245" s="4">
        <f t="shared" si="19"/>
        <v>0.13541666666424135</v>
      </c>
      <c r="K1245" t="s">
        <v>217</v>
      </c>
      <c r="M1245">
        <v>6</v>
      </c>
      <c r="N1245" s="6">
        <v>0</v>
      </c>
      <c r="Q1245" s="2" t="s">
        <v>19</v>
      </c>
    </row>
    <row r="1246" spans="1:17" ht="68" x14ac:dyDescent="0.2">
      <c r="A1246" t="s">
        <v>189</v>
      </c>
      <c r="B1246" t="s">
        <v>134</v>
      </c>
      <c r="C1246" t="s">
        <v>16</v>
      </c>
      <c r="D1246" s="3">
        <v>44375</v>
      </c>
      <c r="E1246" s="1">
        <v>44375.669479166667</v>
      </c>
      <c r="F1246" t="s">
        <v>17</v>
      </c>
      <c r="G1246" t="s">
        <v>84</v>
      </c>
      <c r="H1246" s="1">
        <v>44375.539583333331</v>
      </c>
      <c r="I1246" s="1">
        <v>44375.669444444444</v>
      </c>
      <c r="J1246" s="4">
        <f t="shared" si="19"/>
        <v>0.12986111111240461</v>
      </c>
      <c r="K1246" t="s">
        <v>213</v>
      </c>
      <c r="M1246">
        <v>0</v>
      </c>
      <c r="N1246" s="5" t="s">
        <v>144</v>
      </c>
      <c r="Q1246" s="2" t="s">
        <v>19</v>
      </c>
    </row>
    <row r="1247" spans="1:17" ht="68" x14ac:dyDescent="0.2">
      <c r="A1247" t="s">
        <v>189</v>
      </c>
      <c r="B1247" t="s">
        <v>136</v>
      </c>
      <c r="C1247" t="s">
        <v>16</v>
      </c>
      <c r="D1247" s="3">
        <v>44207</v>
      </c>
      <c r="E1247" s="1">
        <v>44207.465833333335</v>
      </c>
      <c r="F1247" t="s">
        <v>17</v>
      </c>
      <c r="G1247" t="s">
        <v>18</v>
      </c>
      <c r="H1247" s="1">
        <v>44207.354166666664</v>
      </c>
      <c r="I1247" s="1">
        <v>44207.479166666664</v>
      </c>
      <c r="J1247" s="4">
        <f t="shared" si="19"/>
        <v>0.125</v>
      </c>
      <c r="K1247" t="s">
        <v>190</v>
      </c>
      <c r="M1247">
        <v>1</v>
      </c>
      <c r="N1247" s="6">
        <v>0</v>
      </c>
      <c r="Q1247" s="2" t="s">
        <v>19</v>
      </c>
    </row>
    <row r="1248" spans="1:17" ht="68" x14ac:dyDescent="0.2">
      <c r="A1248" t="s">
        <v>189</v>
      </c>
      <c r="B1248" t="s">
        <v>136</v>
      </c>
      <c r="C1248" t="s">
        <v>16</v>
      </c>
      <c r="D1248" s="3">
        <v>44236</v>
      </c>
      <c r="E1248" s="1">
        <v>44236.435127314813</v>
      </c>
      <c r="F1248" t="s">
        <v>17</v>
      </c>
      <c r="G1248" t="s">
        <v>20</v>
      </c>
      <c r="H1248" s="1">
        <v>44236.354166666664</v>
      </c>
      <c r="I1248" s="1">
        <v>44236.479166666664</v>
      </c>
      <c r="J1248" s="4">
        <f t="shared" si="19"/>
        <v>0.125</v>
      </c>
      <c r="K1248" t="s">
        <v>191</v>
      </c>
      <c r="M1248">
        <v>2</v>
      </c>
      <c r="N1248" s="6">
        <v>0</v>
      </c>
      <c r="Q1248" s="2" t="s">
        <v>19</v>
      </c>
    </row>
    <row r="1249" spans="1:17" ht="68" x14ac:dyDescent="0.2">
      <c r="A1249" t="s">
        <v>189</v>
      </c>
      <c r="B1249" t="s">
        <v>136</v>
      </c>
      <c r="C1249" t="s">
        <v>16</v>
      </c>
      <c r="D1249" s="3">
        <v>44236</v>
      </c>
      <c r="E1249" s="1">
        <v>44236.686724537038</v>
      </c>
      <c r="F1249" t="s">
        <v>17</v>
      </c>
      <c r="G1249" t="s">
        <v>21</v>
      </c>
      <c r="H1249" s="1">
        <v>44236.5625</v>
      </c>
      <c r="I1249" s="1">
        <v>44236.6875</v>
      </c>
      <c r="J1249" s="4">
        <f t="shared" si="19"/>
        <v>0.125</v>
      </c>
      <c r="K1249" t="s">
        <v>192</v>
      </c>
      <c r="M1249">
        <v>0</v>
      </c>
      <c r="N1249" s="6">
        <v>0</v>
      </c>
      <c r="Q1249" s="2" t="s">
        <v>19</v>
      </c>
    </row>
    <row r="1250" spans="1:17" ht="68" x14ac:dyDescent="0.2">
      <c r="A1250" t="s">
        <v>189</v>
      </c>
      <c r="B1250" t="s">
        <v>136</v>
      </c>
      <c r="C1250" t="s">
        <v>16</v>
      </c>
      <c r="D1250" s="3">
        <v>44237</v>
      </c>
      <c r="E1250" s="1">
        <v>44237.442962962959</v>
      </c>
      <c r="F1250" t="s">
        <v>17</v>
      </c>
      <c r="G1250" t="s">
        <v>20</v>
      </c>
      <c r="H1250" s="1">
        <v>44237.354166666664</v>
      </c>
      <c r="I1250" s="1">
        <v>44237.479166666664</v>
      </c>
      <c r="J1250" s="4">
        <f t="shared" si="19"/>
        <v>0.125</v>
      </c>
      <c r="K1250" t="s">
        <v>190</v>
      </c>
      <c r="M1250">
        <v>0</v>
      </c>
      <c r="N1250" s="5" t="s">
        <v>144</v>
      </c>
      <c r="Q1250" s="2" t="s">
        <v>19</v>
      </c>
    </row>
    <row r="1251" spans="1:17" ht="68" x14ac:dyDescent="0.2">
      <c r="A1251" t="s">
        <v>189</v>
      </c>
      <c r="B1251" t="s">
        <v>136</v>
      </c>
      <c r="C1251" t="s">
        <v>16</v>
      </c>
      <c r="D1251" s="3">
        <v>44238</v>
      </c>
      <c r="E1251" s="1">
        <v>44238.474293981482</v>
      </c>
      <c r="F1251" t="s">
        <v>17</v>
      </c>
      <c r="G1251" t="s">
        <v>22</v>
      </c>
      <c r="H1251" s="1">
        <v>44238.354166666664</v>
      </c>
      <c r="I1251" s="1">
        <v>44238.479166666664</v>
      </c>
      <c r="J1251" s="4">
        <f t="shared" si="19"/>
        <v>0.125</v>
      </c>
      <c r="K1251" t="s">
        <v>191</v>
      </c>
      <c r="M1251">
        <v>0</v>
      </c>
      <c r="N1251" s="6">
        <v>0</v>
      </c>
      <c r="Q1251" s="2" t="s">
        <v>19</v>
      </c>
    </row>
    <row r="1252" spans="1:17" ht="68" x14ac:dyDescent="0.2">
      <c r="A1252" t="s">
        <v>189</v>
      </c>
      <c r="B1252" t="s">
        <v>136</v>
      </c>
      <c r="C1252" t="s">
        <v>16</v>
      </c>
      <c r="D1252" s="3">
        <v>44238</v>
      </c>
      <c r="E1252" s="1">
        <v>44238.682685185187</v>
      </c>
      <c r="F1252" t="s">
        <v>17</v>
      </c>
      <c r="G1252" t="s">
        <v>23</v>
      </c>
      <c r="H1252" s="1">
        <v>44238.5625</v>
      </c>
      <c r="I1252" s="1">
        <v>44238.6875</v>
      </c>
      <c r="J1252" s="4">
        <f t="shared" si="19"/>
        <v>0.125</v>
      </c>
      <c r="K1252" t="s">
        <v>192</v>
      </c>
      <c r="M1252">
        <v>0</v>
      </c>
      <c r="N1252" s="6">
        <v>0</v>
      </c>
      <c r="Q1252" s="2" t="s">
        <v>19</v>
      </c>
    </row>
    <row r="1253" spans="1:17" ht="68" x14ac:dyDescent="0.2">
      <c r="A1253" t="s">
        <v>189</v>
      </c>
      <c r="B1253" t="s">
        <v>136</v>
      </c>
      <c r="C1253" t="s">
        <v>16</v>
      </c>
      <c r="D1253" s="3">
        <v>44239</v>
      </c>
      <c r="E1253" s="1">
        <v>44239.470694444448</v>
      </c>
      <c r="F1253" t="s">
        <v>17</v>
      </c>
      <c r="G1253" t="s">
        <v>24</v>
      </c>
      <c r="H1253" s="1">
        <v>44239.354166666664</v>
      </c>
      <c r="I1253" s="1">
        <v>44239.479166666664</v>
      </c>
      <c r="J1253" s="4">
        <f t="shared" si="19"/>
        <v>0.125</v>
      </c>
      <c r="K1253" t="s">
        <v>190</v>
      </c>
      <c r="M1253">
        <v>0</v>
      </c>
      <c r="N1253" s="5" t="s">
        <v>144</v>
      </c>
      <c r="Q1253" s="2" t="s">
        <v>19</v>
      </c>
    </row>
    <row r="1254" spans="1:17" ht="68" x14ac:dyDescent="0.2">
      <c r="A1254" t="s">
        <v>189</v>
      </c>
      <c r="B1254" t="s">
        <v>136</v>
      </c>
      <c r="C1254" t="s">
        <v>16</v>
      </c>
      <c r="D1254" s="3">
        <v>44242</v>
      </c>
      <c r="E1254" s="1">
        <v>44242.473587962966</v>
      </c>
      <c r="F1254" t="s">
        <v>17</v>
      </c>
      <c r="G1254" t="s">
        <v>20</v>
      </c>
      <c r="H1254" s="1">
        <v>44242.354166666664</v>
      </c>
      <c r="I1254" s="1">
        <v>44242.479166666664</v>
      </c>
      <c r="J1254" s="4">
        <f t="shared" si="19"/>
        <v>0.125</v>
      </c>
      <c r="K1254" t="s">
        <v>190</v>
      </c>
      <c r="M1254">
        <v>0</v>
      </c>
      <c r="N1254" s="5" t="s">
        <v>144</v>
      </c>
      <c r="Q1254" s="2" t="s">
        <v>19</v>
      </c>
    </row>
    <row r="1255" spans="1:17" ht="68" x14ac:dyDescent="0.2">
      <c r="A1255" t="s">
        <v>189</v>
      </c>
      <c r="B1255" t="s">
        <v>136</v>
      </c>
      <c r="C1255" t="s">
        <v>16</v>
      </c>
      <c r="D1255" s="3">
        <v>44243</v>
      </c>
      <c r="E1255" s="1">
        <v>44243.535057870373</v>
      </c>
      <c r="F1255" t="s">
        <v>17</v>
      </c>
      <c r="G1255" t="s">
        <v>20</v>
      </c>
      <c r="H1255" s="1">
        <v>44243.354166666664</v>
      </c>
      <c r="I1255" s="1">
        <v>44243.479166666664</v>
      </c>
      <c r="J1255" s="4">
        <f t="shared" si="19"/>
        <v>0.125</v>
      </c>
      <c r="K1255" t="s">
        <v>191</v>
      </c>
      <c r="M1255">
        <v>0</v>
      </c>
      <c r="N1255" s="6">
        <v>0</v>
      </c>
      <c r="Q1255" s="2" t="s">
        <v>19</v>
      </c>
    </row>
    <row r="1256" spans="1:17" ht="68" x14ac:dyDescent="0.2">
      <c r="A1256" t="s">
        <v>189</v>
      </c>
      <c r="B1256" t="s">
        <v>136</v>
      </c>
      <c r="C1256" t="s">
        <v>16</v>
      </c>
      <c r="D1256" s="3">
        <v>44243</v>
      </c>
      <c r="E1256" s="1">
        <v>44243.683657407404</v>
      </c>
      <c r="F1256" t="s">
        <v>17</v>
      </c>
      <c r="G1256" t="s">
        <v>25</v>
      </c>
      <c r="H1256" s="1">
        <v>44243.5625</v>
      </c>
      <c r="I1256" s="1">
        <v>44243.6875</v>
      </c>
      <c r="J1256" s="4">
        <f t="shared" si="19"/>
        <v>0.125</v>
      </c>
      <c r="K1256" t="s">
        <v>192</v>
      </c>
      <c r="M1256">
        <v>0</v>
      </c>
      <c r="N1256" s="6">
        <v>0</v>
      </c>
      <c r="Q1256" s="2" t="s">
        <v>19</v>
      </c>
    </row>
    <row r="1257" spans="1:17" ht="68" x14ac:dyDescent="0.2">
      <c r="A1257" t="s">
        <v>189</v>
      </c>
      <c r="B1257" t="s">
        <v>136</v>
      </c>
      <c r="C1257" t="s">
        <v>16</v>
      </c>
      <c r="D1257" s="3">
        <v>44244</v>
      </c>
      <c r="E1257" s="1">
        <v>44244.472071759257</v>
      </c>
      <c r="F1257" t="s">
        <v>17</v>
      </c>
      <c r="G1257" t="s">
        <v>26</v>
      </c>
      <c r="H1257" s="1">
        <v>44244.354166666664</v>
      </c>
      <c r="I1257" s="1">
        <v>44244.479166666664</v>
      </c>
      <c r="J1257" s="4">
        <f t="shared" si="19"/>
        <v>0.125</v>
      </c>
      <c r="K1257" t="s">
        <v>190</v>
      </c>
      <c r="M1257">
        <v>0</v>
      </c>
      <c r="N1257" s="5" t="s">
        <v>144</v>
      </c>
      <c r="Q1257" s="2" t="s">
        <v>19</v>
      </c>
    </row>
    <row r="1258" spans="1:17" ht="68" x14ac:dyDescent="0.2">
      <c r="A1258" t="s">
        <v>189</v>
      </c>
      <c r="B1258" t="s">
        <v>136</v>
      </c>
      <c r="C1258" t="s">
        <v>16</v>
      </c>
      <c r="D1258" s="3">
        <v>44245</v>
      </c>
      <c r="E1258" s="1">
        <v>44245.470578703702</v>
      </c>
      <c r="F1258" t="s">
        <v>17</v>
      </c>
      <c r="G1258" t="s">
        <v>27</v>
      </c>
      <c r="H1258" s="1">
        <v>44245.354166666664</v>
      </c>
      <c r="I1258" s="1">
        <v>44245.479166666664</v>
      </c>
      <c r="J1258" s="4">
        <f t="shared" si="19"/>
        <v>0.125</v>
      </c>
      <c r="K1258" t="s">
        <v>191</v>
      </c>
      <c r="M1258">
        <v>2</v>
      </c>
      <c r="N1258" s="6">
        <v>0</v>
      </c>
      <c r="Q1258" s="2" t="s">
        <v>19</v>
      </c>
    </row>
    <row r="1259" spans="1:17" ht="68" x14ac:dyDescent="0.2">
      <c r="A1259" t="s">
        <v>189</v>
      </c>
      <c r="B1259" t="s">
        <v>136</v>
      </c>
      <c r="C1259" t="s">
        <v>16</v>
      </c>
      <c r="D1259" s="3">
        <v>44245</v>
      </c>
      <c r="E1259" s="1">
        <v>44245.632511574076</v>
      </c>
      <c r="F1259" t="s">
        <v>17</v>
      </c>
      <c r="G1259" t="s">
        <v>28</v>
      </c>
      <c r="H1259" s="1">
        <v>44245.5625</v>
      </c>
      <c r="I1259" s="1">
        <v>44245.635416666664</v>
      </c>
      <c r="J1259" s="4">
        <f t="shared" si="19"/>
        <v>7.2916666664241347E-2</v>
      </c>
      <c r="K1259" t="s">
        <v>192</v>
      </c>
      <c r="M1259">
        <v>0</v>
      </c>
      <c r="N1259" s="6">
        <v>0</v>
      </c>
      <c r="Q1259" s="2" t="s">
        <v>19</v>
      </c>
    </row>
    <row r="1260" spans="1:17" ht="68" x14ac:dyDescent="0.2">
      <c r="A1260" t="s">
        <v>189</v>
      </c>
      <c r="B1260" t="s">
        <v>136</v>
      </c>
      <c r="C1260" t="s">
        <v>16</v>
      </c>
      <c r="D1260" s="3">
        <v>44246</v>
      </c>
      <c r="E1260" s="1">
        <v>44246.472731481481</v>
      </c>
      <c r="F1260" t="s">
        <v>17</v>
      </c>
      <c r="G1260" t="s">
        <v>24</v>
      </c>
      <c r="H1260" s="1">
        <v>44246.354166666664</v>
      </c>
      <c r="I1260" s="1">
        <v>44246.479166666664</v>
      </c>
      <c r="J1260" s="4">
        <f t="shared" si="19"/>
        <v>0.125</v>
      </c>
      <c r="K1260" t="s">
        <v>190</v>
      </c>
      <c r="M1260">
        <v>0</v>
      </c>
      <c r="N1260" s="5" t="s">
        <v>144</v>
      </c>
      <c r="Q1260" s="2" t="s">
        <v>19</v>
      </c>
    </row>
    <row r="1261" spans="1:17" ht="68" x14ac:dyDescent="0.2">
      <c r="A1261" t="s">
        <v>189</v>
      </c>
      <c r="B1261" t="s">
        <v>136</v>
      </c>
      <c r="C1261" t="s">
        <v>16</v>
      </c>
      <c r="D1261" s="3">
        <v>44249</v>
      </c>
      <c r="E1261" s="1">
        <v>44249.477372685185</v>
      </c>
      <c r="F1261" t="s">
        <v>17</v>
      </c>
      <c r="G1261" t="s">
        <v>29</v>
      </c>
      <c r="H1261" s="1">
        <v>44249.354166666664</v>
      </c>
      <c r="I1261" s="1">
        <v>44249.479166666664</v>
      </c>
      <c r="J1261" s="4">
        <f t="shared" si="19"/>
        <v>0.125</v>
      </c>
      <c r="K1261" t="s">
        <v>190</v>
      </c>
      <c r="M1261">
        <v>3</v>
      </c>
      <c r="N1261" s="6">
        <v>0</v>
      </c>
      <c r="Q1261" s="2" t="s">
        <v>19</v>
      </c>
    </row>
    <row r="1262" spans="1:17" ht="68" x14ac:dyDescent="0.2">
      <c r="A1262" t="s">
        <v>189</v>
      </c>
      <c r="B1262" t="s">
        <v>136</v>
      </c>
      <c r="C1262" t="s">
        <v>16</v>
      </c>
      <c r="D1262" s="3">
        <v>44250</v>
      </c>
      <c r="E1262" s="1">
        <v>44250.468807870369</v>
      </c>
      <c r="F1262" t="s">
        <v>17</v>
      </c>
      <c r="G1262" t="s">
        <v>20</v>
      </c>
      <c r="H1262" s="1">
        <v>44250.354166666664</v>
      </c>
      <c r="I1262" s="1">
        <v>44250.479166666664</v>
      </c>
      <c r="J1262" s="4">
        <f t="shared" si="19"/>
        <v>0.125</v>
      </c>
      <c r="K1262" t="s">
        <v>191</v>
      </c>
      <c r="M1262">
        <v>0</v>
      </c>
      <c r="N1262" s="6">
        <v>0</v>
      </c>
      <c r="Q1262" s="2" t="s">
        <v>19</v>
      </c>
    </row>
    <row r="1263" spans="1:17" ht="68" x14ac:dyDescent="0.2">
      <c r="A1263" t="s">
        <v>189</v>
      </c>
      <c r="B1263" t="s">
        <v>136</v>
      </c>
      <c r="C1263" t="s">
        <v>16</v>
      </c>
      <c r="D1263" s="3">
        <v>44250</v>
      </c>
      <c r="E1263" s="1">
        <v>44250.68346064815</v>
      </c>
      <c r="F1263" t="s">
        <v>17</v>
      </c>
      <c r="G1263" t="s">
        <v>30</v>
      </c>
      <c r="H1263" s="1">
        <v>44250.5625</v>
      </c>
      <c r="I1263" s="1">
        <v>44250.6875</v>
      </c>
      <c r="J1263" s="4">
        <f t="shared" si="19"/>
        <v>0.125</v>
      </c>
      <c r="K1263" t="s">
        <v>192</v>
      </c>
      <c r="M1263">
        <v>0</v>
      </c>
      <c r="N1263" s="6">
        <v>0</v>
      </c>
      <c r="Q1263" s="2" t="s">
        <v>19</v>
      </c>
    </row>
    <row r="1264" spans="1:17" ht="68" x14ac:dyDescent="0.2">
      <c r="A1264" t="s">
        <v>189</v>
      </c>
      <c r="B1264" t="s">
        <v>136</v>
      </c>
      <c r="C1264" t="s">
        <v>16</v>
      </c>
      <c r="D1264" s="3">
        <v>44251</v>
      </c>
      <c r="E1264" s="1">
        <v>44251.473680555559</v>
      </c>
      <c r="F1264" t="s">
        <v>17</v>
      </c>
      <c r="G1264" t="s">
        <v>31</v>
      </c>
      <c r="H1264" s="1">
        <v>44251.354166666664</v>
      </c>
      <c r="I1264" s="1">
        <v>44251.479166666664</v>
      </c>
      <c r="J1264" s="4">
        <f t="shared" si="19"/>
        <v>0.125</v>
      </c>
      <c r="K1264" t="s">
        <v>190</v>
      </c>
      <c r="M1264">
        <v>10</v>
      </c>
      <c r="N1264" s="6">
        <v>0</v>
      </c>
      <c r="Q1264" s="2" t="s">
        <v>19</v>
      </c>
    </row>
    <row r="1265" spans="1:17" ht="68" x14ac:dyDescent="0.2">
      <c r="A1265" t="s">
        <v>189</v>
      </c>
      <c r="B1265" t="s">
        <v>136</v>
      </c>
      <c r="C1265" t="s">
        <v>16</v>
      </c>
      <c r="D1265" s="3">
        <v>44252</v>
      </c>
      <c r="E1265" s="1">
        <v>44252.472002314818</v>
      </c>
      <c r="F1265" t="s">
        <v>17</v>
      </c>
      <c r="G1265" t="s">
        <v>27</v>
      </c>
      <c r="H1265" s="1">
        <v>44252.354166666664</v>
      </c>
      <c r="I1265" s="1">
        <v>44252.479166666664</v>
      </c>
      <c r="J1265" s="4">
        <f t="shared" si="19"/>
        <v>0.125</v>
      </c>
      <c r="K1265" t="s">
        <v>191</v>
      </c>
      <c r="M1265">
        <v>0</v>
      </c>
      <c r="N1265" s="6">
        <v>0</v>
      </c>
      <c r="Q1265" s="2" t="s">
        <v>19</v>
      </c>
    </row>
    <row r="1266" spans="1:17" ht="68" x14ac:dyDescent="0.2">
      <c r="A1266" t="s">
        <v>189</v>
      </c>
      <c r="B1266" t="s">
        <v>136</v>
      </c>
      <c r="C1266" t="s">
        <v>16</v>
      </c>
      <c r="D1266" s="3">
        <v>44252</v>
      </c>
      <c r="E1266" s="1">
        <v>44252.602395833332</v>
      </c>
      <c r="F1266" t="s">
        <v>17</v>
      </c>
      <c r="G1266" t="s">
        <v>23</v>
      </c>
      <c r="H1266" s="1">
        <v>44252.5625</v>
      </c>
      <c r="I1266" s="1">
        <v>44252.6875</v>
      </c>
      <c r="J1266" s="4">
        <f t="shared" si="19"/>
        <v>0.125</v>
      </c>
      <c r="K1266" t="s">
        <v>192</v>
      </c>
      <c r="M1266">
        <v>1</v>
      </c>
      <c r="N1266" s="6">
        <v>0</v>
      </c>
      <c r="Q1266" s="2" t="s">
        <v>19</v>
      </c>
    </row>
    <row r="1267" spans="1:17" ht="68" x14ac:dyDescent="0.2">
      <c r="A1267" t="s">
        <v>189</v>
      </c>
      <c r="B1267" t="s">
        <v>136</v>
      </c>
      <c r="C1267" t="s">
        <v>16</v>
      </c>
      <c r="D1267" s="3">
        <v>44253</v>
      </c>
      <c r="E1267" s="1">
        <v>44253.473437499997</v>
      </c>
      <c r="F1267" t="s">
        <v>17</v>
      </c>
      <c r="G1267" t="s">
        <v>24</v>
      </c>
      <c r="H1267" s="1">
        <v>44253.354166666664</v>
      </c>
      <c r="I1267" s="1">
        <v>44253.479166666664</v>
      </c>
      <c r="J1267" s="4">
        <f t="shared" si="19"/>
        <v>0.125</v>
      </c>
      <c r="K1267" t="s">
        <v>190</v>
      </c>
      <c r="M1267">
        <v>0</v>
      </c>
      <c r="N1267" s="5" t="s">
        <v>144</v>
      </c>
      <c r="Q1267" s="2" t="s">
        <v>19</v>
      </c>
    </row>
    <row r="1268" spans="1:17" ht="68" x14ac:dyDescent="0.2">
      <c r="A1268" t="s">
        <v>189</v>
      </c>
      <c r="B1268" t="s">
        <v>136</v>
      </c>
      <c r="C1268" t="s">
        <v>16</v>
      </c>
      <c r="D1268" s="3">
        <v>44256</v>
      </c>
      <c r="E1268" s="1">
        <v>44256.4687962963</v>
      </c>
      <c r="F1268" t="s">
        <v>17</v>
      </c>
      <c r="G1268" t="s">
        <v>26</v>
      </c>
      <c r="H1268" s="1">
        <v>44256.354166666664</v>
      </c>
      <c r="I1268" s="1">
        <v>44256.479166666664</v>
      </c>
      <c r="J1268" s="4">
        <f t="shared" si="19"/>
        <v>0.125</v>
      </c>
      <c r="K1268" t="s">
        <v>190</v>
      </c>
      <c r="M1268">
        <v>7</v>
      </c>
      <c r="N1268" s="6">
        <v>0</v>
      </c>
      <c r="Q1268" s="2" t="s">
        <v>19</v>
      </c>
    </row>
    <row r="1269" spans="1:17" ht="68" x14ac:dyDescent="0.2">
      <c r="A1269" t="s">
        <v>189</v>
      </c>
      <c r="B1269" t="s">
        <v>136</v>
      </c>
      <c r="C1269" t="s">
        <v>16</v>
      </c>
      <c r="D1269" s="3">
        <v>44257</v>
      </c>
      <c r="E1269" s="1">
        <v>44257.470138888886</v>
      </c>
      <c r="F1269" t="s">
        <v>17</v>
      </c>
      <c r="G1269" t="s">
        <v>32</v>
      </c>
      <c r="H1269" s="1">
        <v>44257.354166666664</v>
      </c>
      <c r="I1269" s="1">
        <v>44257.479166666664</v>
      </c>
      <c r="J1269" s="4">
        <f t="shared" si="19"/>
        <v>0.125</v>
      </c>
      <c r="K1269" t="s">
        <v>191</v>
      </c>
      <c r="M1269">
        <v>0</v>
      </c>
      <c r="N1269" s="6">
        <v>0</v>
      </c>
      <c r="Q1269" s="2" t="s">
        <v>19</v>
      </c>
    </row>
    <row r="1270" spans="1:17" ht="68" x14ac:dyDescent="0.2">
      <c r="A1270" t="s">
        <v>189</v>
      </c>
      <c r="B1270" t="s">
        <v>136</v>
      </c>
      <c r="C1270" t="s">
        <v>16</v>
      </c>
      <c r="D1270" s="3">
        <v>44257</v>
      </c>
      <c r="E1270" s="1">
        <v>44257.59480324074</v>
      </c>
      <c r="F1270" t="s">
        <v>17</v>
      </c>
      <c r="G1270" t="s">
        <v>33</v>
      </c>
      <c r="H1270" s="1">
        <v>44257.5625</v>
      </c>
      <c r="I1270" s="1">
        <v>44257.6875</v>
      </c>
      <c r="J1270" s="4">
        <f t="shared" si="19"/>
        <v>0.125</v>
      </c>
      <c r="K1270" t="s">
        <v>192</v>
      </c>
      <c r="M1270">
        <v>14</v>
      </c>
      <c r="N1270" s="6">
        <v>0</v>
      </c>
      <c r="Q1270" s="2" t="s">
        <v>19</v>
      </c>
    </row>
    <row r="1271" spans="1:17" ht="68" x14ac:dyDescent="0.2">
      <c r="A1271" t="s">
        <v>189</v>
      </c>
      <c r="B1271" t="s">
        <v>136</v>
      </c>
      <c r="C1271" t="s">
        <v>16</v>
      </c>
      <c r="D1271" s="3">
        <v>44258</v>
      </c>
      <c r="E1271" s="1">
        <v>44258.473344907405</v>
      </c>
      <c r="F1271" t="s">
        <v>17</v>
      </c>
      <c r="G1271" t="s">
        <v>31</v>
      </c>
      <c r="H1271" s="1">
        <v>44258.354166666664</v>
      </c>
      <c r="I1271" s="1">
        <v>44258.458333333336</v>
      </c>
      <c r="J1271" s="4">
        <f t="shared" si="19"/>
        <v>0.10416666667151731</v>
      </c>
      <c r="K1271" t="s">
        <v>190</v>
      </c>
      <c r="M1271">
        <v>7</v>
      </c>
      <c r="N1271" s="6">
        <v>0</v>
      </c>
      <c r="Q1271" s="2" t="s">
        <v>19</v>
      </c>
    </row>
    <row r="1272" spans="1:17" ht="68" x14ac:dyDescent="0.2">
      <c r="A1272" t="s">
        <v>189</v>
      </c>
      <c r="B1272" t="s">
        <v>136</v>
      </c>
      <c r="C1272" t="s">
        <v>16</v>
      </c>
      <c r="D1272" s="3">
        <v>44259</v>
      </c>
      <c r="E1272" s="1">
        <v>44259.473506944443</v>
      </c>
      <c r="F1272" t="s">
        <v>17</v>
      </c>
      <c r="G1272" t="s">
        <v>24</v>
      </c>
      <c r="H1272" s="1">
        <v>44259.354166666664</v>
      </c>
      <c r="I1272" s="1">
        <v>44259.479166666664</v>
      </c>
      <c r="J1272" s="4">
        <f t="shared" si="19"/>
        <v>0.125</v>
      </c>
      <c r="K1272" t="s">
        <v>191</v>
      </c>
      <c r="M1272">
        <v>0</v>
      </c>
      <c r="N1272" s="6">
        <v>0</v>
      </c>
      <c r="Q1272" s="2" t="s">
        <v>19</v>
      </c>
    </row>
    <row r="1273" spans="1:17" ht="68" x14ac:dyDescent="0.2">
      <c r="A1273" t="s">
        <v>189</v>
      </c>
      <c r="B1273" t="s">
        <v>136</v>
      </c>
      <c r="C1273" t="s">
        <v>16</v>
      </c>
      <c r="D1273" s="3">
        <v>44259</v>
      </c>
      <c r="E1273" s="1">
        <v>44259.628229166665</v>
      </c>
      <c r="F1273" t="s">
        <v>17</v>
      </c>
      <c r="G1273" t="s">
        <v>25</v>
      </c>
      <c r="H1273" s="1">
        <v>44259.5625</v>
      </c>
      <c r="I1273" s="1">
        <v>44259.625</v>
      </c>
      <c r="J1273" s="4">
        <f t="shared" si="19"/>
        <v>6.25E-2</v>
      </c>
      <c r="K1273" t="s">
        <v>192</v>
      </c>
      <c r="M1273">
        <v>0</v>
      </c>
      <c r="N1273" s="6">
        <v>0</v>
      </c>
      <c r="Q1273" s="2" t="s">
        <v>19</v>
      </c>
    </row>
    <row r="1274" spans="1:17" ht="68" x14ac:dyDescent="0.2">
      <c r="A1274" t="s">
        <v>189</v>
      </c>
      <c r="B1274" t="s">
        <v>136</v>
      </c>
      <c r="C1274" t="s">
        <v>16</v>
      </c>
      <c r="D1274" s="3">
        <v>44260</v>
      </c>
      <c r="E1274" s="1">
        <v>44260.467465277776</v>
      </c>
      <c r="F1274" t="s">
        <v>17</v>
      </c>
      <c r="G1274" t="s">
        <v>31</v>
      </c>
      <c r="H1274" s="1">
        <v>44260.354166666664</v>
      </c>
      <c r="I1274" s="1">
        <v>44260.479166666664</v>
      </c>
      <c r="J1274" s="4">
        <f t="shared" si="19"/>
        <v>0.125</v>
      </c>
      <c r="K1274" t="s">
        <v>190</v>
      </c>
      <c r="M1274">
        <v>0</v>
      </c>
      <c r="N1274" s="5" t="s">
        <v>144</v>
      </c>
      <c r="Q1274" s="2" t="s">
        <v>19</v>
      </c>
    </row>
    <row r="1275" spans="1:17" ht="68" x14ac:dyDescent="0.2">
      <c r="A1275" t="s">
        <v>189</v>
      </c>
      <c r="B1275" t="s">
        <v>136</v>
      </c>
      <c r="C1275" t="s">
        <v>16</v>
      </c>
      <c r="D1275" s="3">
        <v>44263</v>
      </c>
      <c r="E1275" s="1">
        <v>44263.473124999997</v>
      </c>
      <c r="F1275" t="s">
        <v>17</v>
      </c>
      <c r="G1275" t="s">
        <v>26</v>
      </c>
      <c r="H1275" s="1">
        <v>44263.354166666664</v>
      </c>
      <c r="I1275" s="1">
        <v>44263.479166666664</v>
      </c>
      <c r="J1275" s="4">
        <f t="shared" si="19"/>
        <v>0.125</v>
      </c>
      <c r="K1275" t="s">
        <v>190</v>
      </c>
      <c r="M1275">
        <v>2</v>
      </c>
      <c r="N1275" s="6">
        <v>0</v>
      </c>
      <c r="Q1275" s="2" t="s">
        <v>19</v>
      </c>
    </row>
    <row r="1276" spans="1:17" ht="68" x14ac:dyDescent="0.2">
      <c r="A1276" t="s">
        <v>189</v>
      </c>
      <c r="B1276" t="s">
        <v>136</v>
      </c>
      <c r="C1276" t="s">
        <v>16</v>
      </c>
      <c r="D1276" s="3">
        <v>44264</v>
      </c>
      <c r="E1276" s="1">
        <v>44264.475439814814</v>
      </c>
      <c r="F1276" t="s">
        <v>17</v>
      </c>
      <c r="G1276" t="s">
        <v>24</v>
      </c>
      <c r="H1276" s="1">
        <v>44264.354166666664</v>
      </c>
      <c r="I1276" s="1">
        <v>44264.479166666664</v>
      </c>
      <c r="J1276" s="4">
        <f t="shared" si="19"/>
        <v>0.125</v>
      </c>
      <c r="K1276" t="s">
        <v>191</v>
      </c>
      <c r="M1276">
        <v>0</v>
      </c>
      <c r="N1276" s="6">
        <v>0</v>
      </c>
      <c r="Q1276" s="2" t="s">
        <v>19</v>
      </c>
    </row>
    <row r="1277" spans="1:17" ht="68" x14ac:dyDescent="0.2">
      <c r="A1277" t="s">
        <v>189</v>
      </c>
      <c r="B1277" t="s">
        <v>136</v>
      </c>
      <c r="C1277" t="s">
        <v>16</v>
      </c>
      <c r="D1277" s="3">
        <v>44264</v>
      </c>
      <c r="E1277" s="1">
        <v>44264.666851851849</v>
      </c>
      <c r="F1277" t="s">
        <v>17</v>
      </c>
      <c r="G1277" t="s">
        <v>34</v>
      </c>
      <c r="H1277" s="1">
        <v>44264.5625</v>
      </c>
      <c r="I1277" s="1">
        <v>44264.6875</v>
      </c>
      <c r="J1277" s="4">
        <f t="shared" si="19"/>
        <v>0.125</v>
      </c>
      <c r="K1277" t="s">
        <v>192</v>
      </c>
      <c r="M1277">
        <v>1</v>
      </c>
      <c r="N1277" s="6">
        <v>0</v>
      </c>
      <c r="Q1277" s="2" t="s">
        <v>19</v>
      </c>
    </row>
    <row r="1278" spans="1:17" ht="68" x14ac:dyDescent="0.2">
      <c r="A1278" t="s">
        <v>189</v>
      </c>
      <c r="B1278" t="s">
        <v>136</v>
      </c>
      <c r="C1278" t="s">
        <v>16</v>
      </c>
      <c r="D1278" s="3">
        <v>44265</v>
      </c>
      <c r="E1278" s="1">
        <v>44265.473749999997</v>
      </c>
      <c r="F1278" t="s">
        <v>17</v>
      </c>
      <c r="G1278" t="s">
        <v>24</v>
      </c>
      <c r="H1278" s="1">
        <v>44265.354166666664</v>
      </c>
      <c r="I1278" s="1">
        <v>44265.479166666664</v>
      </c>
      <c r="J1278" s="4">
        <f t="shared" si="19"/>
        <v>0.125</v>
      </c>
      <c r="K1278" t="s">
        <v>190</v>
      </c>
      <c r="M1278">
        <v>4</v>
      </c>
      <c r="N1278" s="6">
        <v>0</v>
      </c>
      <c r="Q1278" s="2" t="s">
        <v>19</v>
      </c>
    </row>
    <row r="1279" spans="1:17" ht="68" x14ac:dyDescent="0.2">
      <c r="A1279" t="s">
        <v>189</v>
      </c>
      <c r="B1279" t="s">
        <v>136</v>
      </c>
      <c r="C1279" t="s">
        <v>16</v>
      </c>
      <c r="D1279" s="3">
        <v>44266</v>
      </c>
      <c r="E1279" s="1">
        <v>44266.39267361111</v>
      </c>
      <c r="F1279" t="s">
        <v>17</v>
      </c>
      <c r="G1279" t="s">
        <v>39</v>
      </c>
      <c r="H1279" s="1">
        <v>44266.377083333333</v>
      </c>
      <c r="I1279" s="1">
        <v>44266.510416666664</v>
      </c>
      <c r="J1279" s="4">
        <f t="shared" si="19"/>
        <v>0.13333333333139308</v>
      </c>
      <c r="K1279" t="s">
        <v>192</v>
      </c>
      <c r="M1279">
        <v>1</v>
      </c>
      <c r="N1279" s="6">
        <v>0</v>
      </c>
      <c r="Q1279" s="2" t="s">
        <v>19</v>
      </c>
    </row>
    <row r="1280" spans="1:17" ht="68" x14ac:dyDescent="0.2">
      <c r="A1280" t="s">
        <v>189</v>
      </c>
      <c r="B1280" t="s">
        <v>136</v>
      </c>
      <c r="C1280" t="s">
        <v>16</v>
      </c>
      <c r="D1280" s="3">
        <v>44266</v>
      </c>
      <c r="E1280" s="1">
        <v>44266.664629629631</v>
      </c>
      <c r="F1280" t="s">
        <v>17</v>
      </c>
      <c r="G1280" t="s">
        <v>35</v>
      </c>
      <c r="H1280" s="1">
        <v>44266.53125</v>
      </c>
      <c r="I1280" s="1">
        <v>44266.666666666664</v>
      </c>
      <c r="J1280" s="4">
        <f t="shared" si="19"/>
        <v>0.13541666666424135</v>
      </c>
      <c r="K1280" t="s">
        <v>192</v>
      </c>
      <c r="M1280">
        <v>0</v>
      </c>
      <c r="N1280" s="6">
        <v>0</v>
      </c>
      <c r="Q1280" s="2" t="s">
        <v>19</v>
      </c>
    </row>
    <row r="1281" spans="1:17" ht="68" x14ac:dyDescent="0.2">
      <c r="A1281" t="s">
        <v>189</v>
      </c>
      <c r="B1281" t="s">
        <v>136</v>
      </c>
      <c r="C1281" t="s">
        <v>16</v>
      </c>
      <c r="D1281" s="3">
        <v>44270</v>
      </c>
      <c r="E1281" s="1">
        <v>44270.472268518519</v>
      </c>
      <c r="F1281" t="s">
        <v>17</v>
      </c>
      <c r="G1281" t="s">
        <v>24</v>
      </c>
      <c r="H1281" s="1">
        <v>44270.354166666664</v>
      </c>
      <c r="I1281" s="1">
        <v>44270.479166666664</v>
      </c>
      <c r="J1281" s="4">
        <f t="shared" si="19"/>
        <v>0.125</v>
      </c>
      <c r="K1281" t="s">
        <v>190</v>
      </c>
      <c r="M1281">
        <v>1</v>
      </c>
      <c r="N1281" s="6">
        <v>0</v>
      </c>
      <c r="Q1281" s="2" t="s">
        <v>19</v>
      </c>
    </row>
    <row r="1282" spans="1:17" ht="68" x14ac:dyDescent="0.2">
      <c r="A1282" t="s">
        <v>189</v>
      </c>
      <c r="B1282" t="s">
        <v>136</v>
      </c>
      <c r="C1282" t="s">
        <v>16</v>
      </c>
      <c r="D1282" s="3">
        <v>44271</v>
      </c>
      <c r="E1282" s="1">
        <v>44271.399108796293</v>
      </c>
      <c r="F1282" t="s">
        <v>17</v>
      </c>
      <c r="G1282" t="s">
        <v>36</v>
      </c>
      <c r="H1282" s="1">
        <v>44271.375</v>
      </c>
      <c r="I1282" s="1">
        <v>44271.489583333336</v>
      </c>
      <c r="J1282" s="4">
        <f t="shared" si="19"/>
        <v>0.11458333333575865</v>
      </c>
      <c r="K1282" t="s">
        <v>192</v>
      </c>
      <c r="M1282">
        <v>1</v>
      </c>
      <c r="N1282" s="6">
        <v>0</v>
      </c>
      <c r="Q1282" s="2" t="s">
        <v>19</v>
      </c>
    </row>
    <row r="1283" spans="1:17" ht="68" x14ac:dyDescent="0.2">
      <c r="A1283" t="s">
        <v>189</v>
      </c>
      <c r="B1283" t="s">
        <v>136</v>
      </c>
      <c r="C1283" t="s">
        <v>16</v>
      </c>
      <c r="D1283" s="3">
        <v>44271</v>
      </c>
      <c r="E1283" s="1">
        <v>44271.632627314815</v>
      </c>
      <c r="F1283" t="s">
        <v>17</v>
      </c>
      <c r="G1283" t="s">
        <v>37</v>
      </c>
      <c r="H1283" s="1">
        <v>44271.53125</v>
      </c>
      <c r="I1283" s="1">
        <v>44271.635416666664</v>
      </c>
      <c r="J1283" s="4">
        <f t="shared" ref="J1283:J1346" si="20">IF($I1283="","",$I1283-$H1283)</f>
        <v>0.10416666666424135</v>
      </c>
      <c r="K1283" t="s">
        <v>192</v>
      </c>
      <c r="M1283">
        <v>0</v>
      </c>
      <c r="N1283" s="6">
        <v>0</v>
      </c>
      <c r="Q1283" s="2" t="s">
        <v>19</v>
      </c>
    </row>
    <row r="1284" spans="1:17" ht="68" x14ac:dyDescent="0.2">
      <c r="A1284" t="s">
        <v>189</v>
      </c>
      <c r="B1284" t="s">
        <v>136</v>
      </c>
      <c r="C1284" t="s">
        <v>16</v>
      </c>
      <c r="D1284" s="3">
        <v>44272</v>
      </c>
      <c r="E1284" s="1">
        <v>44272.476111111115</v>
      </c>
      <c r="F1284" t="s">
        <v>17</v>
      </c>
      <c r="G1284" t="s">
        <v>38</v>
      </c>
      <c r="H1284" s="1">
        <v>44272.354166666664</v>
      </c>
      <c r="I1284" s="1">
        <v>44272.479166666664</v>
      </c>
      <c r="J1284" s="4">
        <f t="shared" si="20"/>
        <v>0.125</v>
      </c>
      <c r="K1284" t="s">
        <v>190</v>
      </c>
      <c r="M1284">
        <v>3</v>
      </c>
      <c r="N1284" s="6">
        <v>0</v>
      </c>
      <c r="Q1284" s="2" t="s">
        <v>19</v>
      </c>
    </row>
    <row r="1285" spans="1:17" ht="68" x14ac:dyDescent="0.2">
      <c r="A1285" t="s">
        <v>189</v>
      </c>
      <c r="B1285" t="s">
        <v>136</v>
      </c>
      <c r="C1285" t="s">
        <v>16</v>
      </c>
      <c r="D1285" s="3">
        <v>44273</v>
      </c>
      <c r="E1285" s="1">
        <v>44273.400833333333</v>
      </c>
      <c r="F1285" t="s">
        <v>17</v>
      </c>
      <c r="G1285" t="s">
        <v>39</v>
      </c>
      <c r="H1285" s="1">
        <v>44273.375</v>
      </c>
      <c r="I1285" s="1">
        <v>44273.489583333336</v>
      </c>
      <c r="J1285" s="4">
        <f t="shared" si="20"/>
        <v>0.11458333333575865</v>
      </c>
      <c r="K1285" t="s">
        <v>192</v>
      </c>
      <c r="M1285">
        <v>1</v>
      </c>
      <c r="N1285" s="6">
        <v>0</v>
      </c>
      <c r="Q1285" s="2" t="s">
        <v>19</v>
      </c>
    </row>
    <row r="1286" spans="1:17" ht="68" x14ac:dyDescent="0.2">
      <c r="A1286" t="s">
        <v>189</v>
      </c>
      <c r="B1286" t="s">
        <v>136</v>
      </c>
      <c r="C1286" t="s">
        <v>16</v>
      </c>
      <c r="D1286" s="3">
        <v>44273</v>
      </c>
      <c r="E1286" s="1">
        <v>44273.664942129632</v>
      </c>
      <c r="F1286" t="s">
        <v>17</v>
      </c>
      <c r="G1286" t="s">
        <v>40</v>
      </c>
      <c r="H1286" s="1">
        <v>44273.53125</v>
      </c>
      <c r="I1286" s="1">
        <v>44273.666666666664</v>
      </c>
      <c r="J1286" s="4">
        <f t="shared" si="20"/>
        <v>0.13541666666424135</v>
      </c>
      <c r="K1286" t="s">
        <v>192</v>
      </c>
      <c r="M1286">
        <v>0</v>
      </c>
      <c r="N1286" s="6">
        <v>0</v>
      </c>
      <c r="Q1286" s="2" t="s">
        <v>19</v>
      </c>
    </row>
    <row r="1287" spans="1:17" ht="68" x14ac:dyDescent="0.2">
      <c r="A1287" t="s">
        <v>189</v>
      </c>
      <c r="B1287" t="s">
        <v>136</v>
      </c>
      <c r="C1287" t="s">
        <v>16</v>
      </c>
      <c r="D1287" s="3">
        <v>44279</v>
      </c>
      <c r="E1287" s="1">
        <v>44279.473819444444</v>
      </c>
      <c r="F1287" t="s">
        <v>17</v>
      </c>
      <c r="G1287" t="s">
        <v>41</v>
      </c>
      <c r="H1287" s="1">
        <v>44279.354166666664</v>
      </c>
      <c r="I1287" s="1">
        <v>44279.479166666664</v>
      </c>
      <c r="J1287" s="4">
        <f t="shared" si="20"/>
        <v>0.125</v>
      </c>
      <c r="K1287" t="s">
        <v>190</v>
      </c>
      <c r="M1287">
        <v>4</v>
      </c>
      <c r="N1287" s="6">
        <v>0</v>
      </c>
      <c r="Q1287" s="2" t="s">
        <v>19</v>
      </c>
    </row>
    <row r="1288" spans="1:17" ht="68" x14ac:dyDescent="0.2">
      <c r="A1288" t="s">
        <v>189</v>
      </c>
      <c r="B1288" t="s">
        <v>136</v>
      </c>
      <c r="C1288" t="s">
        <v>16</v>
      </c>
      <c r="D1288" s="3">
        <v>44281</v>
      </c>
      <c r="E1288" s="1">
        <v>44281.475717592592</v>
      </c>
      <c r="F1288" t="s">
        <v>17</v>
      </c>
      <c r="G1288" t="s">
        <v>38</v>
      </c>
      <c r="H1288" s="1">
        <v>44281.354166666664</v>
      </c>
      <c r="I1288" s="1">
        <v>44281.479166666664</v>
      </c>
      <c r="J1288" s="4">
        <f t="shared" si="20"/>
        <v>0.125</v>
      </c>
      <c r="K1288" t="s">
        <v>190</v>
      </c>
      <c r="M1288">
        <v>0</v>
      </c>
      <c r="N1288" s="5" t="s">
        <v>144</v>
      </c>
      <c r="Q1288" s="2" t="s">
        <v>19</v>
      </c>
    </row>
    <row r="1289" spans="1:17" ht="68" x14ac:dyDescent="0.2">
      <c r="A1289" t="s">
        <v>189</v>
      </c>
      <c r="B1289" t="s">
        <v>136</v>
      </c>
      <c r="C1289" t="s">
        <v>16</v>
      </c>
      <c r="D1289" s="3">
        <v>44284</v>
      </c>
      <c r="E1289" s="1">
        <v>44284.472812499997</v>
      </c>
      <c r="F1289" t="s">
        <v>17</v>
      </c>
      <c r="G1289" t="s">
        <v>38</v>
      </c>
      <c r="H1289" s="1">
        <v>44284.354166666664</v>
      </c>
      <c r="I1289" s="1">
        <v>44284.479166666664</v>
      </c>
      <c r="J1289" s="4">
        <f t="shared" si="20"/>
        <v>0.125</v>
      </c>
      <c r="K1289" t="s">
        <v>190</v>
      </c>
      <c r="M1289">
        <v>0</v>
      </c>
      <c r="N1289" s="5" t="s">
        <v>144</v>
      </c>
      <c r="Q1289" s="2" t="s">
        <v>19</v>
      </c>
    </row>
    <row r="1290" spans="1:17" ht="68" x14ac:dyDescent="0.2">
      <c r="A1290" t="s">
        <v>189</v>
      </c>
      <c r="B1290" t="s">
        <v>136</v>
      </c>
      <c r="C1290" t="s">
        <v>16</v>
      </c>
      <c r="D1290" s="3">
        <v>44285</v>
      </c>
      <c r="E1290" s="1">
        <v>44285.494629629633</v>
      </c>
      <c r="F1290" t="s">
        <v>17</v>
      </c>
      <c r="G1290" t="s">
        <v>29</v>
      </c>
      <c r="H1290" s="1">
        <v>44285.375</v>
      </c>
      <c r="I1290" s="1">
        <v>44285.489583333336</v>
      </c>
      <c r="J1290" s="4">
        <f t="shared" si="20"/>
        <v>0.11458333333575865</v>
      </c>
      <c r="K1290" t="s">
        <v>192</v>
      </c>
      <c r="M1290">
        <v>2</v>
      </c>
      <c r="N1290" s="6">
        <v>0</v>
      </c>
      <c r="Q1290" s="2" t="s">
        <v>19</v>
      </c>
    </row>
    <row r="1291" spans="1:17" ht="68" x14ac:dyDescent="0.2">
      <c r="A1291" t="s">
        <v>189</v>
      </c>
      <c r="B1291" t="s">
        <v>136</v>
      </c>
      <c r="C1291" t="s">
        <v>16</v>
      </c>
      <c r="D1291" s="3">
        <v>44285</v>
      </c>
      <c r="E1291" s="1">
        <v>44285.546724537038</v>
      </c>
      <c r="F1291" t="s">
        <v>17</v>
      </c>
      <c r="G1291" t="s">
        <v>42</v>
      </c>
      <c r="H1291" s="1">
        <v>44285.53125</v>
      </c>
      <c r="I1291" s="1">
        <v>44285.666666666664</v>
      </c>
      <c r="J1291" s="4">
        <f t="shared" si="20"/>
        <v>0.13541666666424135</v>
      </c>
      <c r="K1291" t="s">
        <v>192</v>
      </c>
      <c r="M1291">
        <v>2</v>
      </c>
      <c r="N1291" s="6">
        <v>0</v>
      </c>
      <c r="Q1291" s="2" t="s">
        <v>19</v>
      </c>
    </row>
    <row r="1292" spans="1:17" ht="68" x14ac:dyDescent="0.2">
      <c r="A1292" t="s">
        <v>189</v>
      </c>
      <c r="B1292" t="s">
        <v>136</v>
      </c>
      <c r="C1292" t="s">
        <v>16</v>
      </c>
      <c r="D1292" s="3">
        <v>44286</v>
      </c>
      <c r="E1292" s="1">
        <v>44286.472094907411</v>
      </c>
      <c r="F1292" t="s">
        <v>17</v>
      </c>
      <c r="G1292" t="s">
        <v>31</v>
      </c>
      <c r="H1292" s="1">
        <v>44286.354166666664</v>
      </c>
      <c r="I1292" s="1">
        <v>44286.479166666664</v>
      </c>
      <c r="J1292" s="4">
        <f t="shared" si="20"/>
        <v>0.125</v>
      </c>
      <c r="K1292" t="s">
        <v>190</v>
      </c>
      <c r="M1292">
        <v>2</v>
      </c>
      <c r="N1292" s="6">
        <v>0</v>
      </c>
      <c r="Q1292" s="2" t="s">
        <v>19</v>
      </c>
    </row>
    <row r="1293" spans="1:17" ht="68" x14ac:dyDescent="0.2">
      <c r="A1293" t="s">
        <v>189</v>
      </c>
      <c r="B1293" t="s">
        <v>136</v>
      </c>
      <c r="C1293" t="s">
        <v>16</v>
      </c>
      <c r="D1293" s="3">
        <v>44287</v>
      </c>
      <c r="E1293" s="1">
        <v>44287.49622685185</v>
      </c>
      <c r="F1293" t="s">
        <v>17</v>
      </c>
      <c r="G1293" t="s">
        <v>43</v>
      </c>
      <c r="H1293" s="1">
        <v>44287.375</v>
      </c>
      <c r="I1293" s="1">
        <v>44287.489583333336</v>
      </c>
      <c r="J1293" s="4">
        <f t="shared" si="20"/>
        <v>0.11458333333575865</v>
      </c>
      <c r="K1293" t="s">
        <v>192</v>
      </c>
      <c r="M1293">
        <v>0</v>
      </c>
      <c r="N1293" s="6">
        <v>0</v>
      </c>
      <c r="Q1293" s="2" t="s">
        <v>19</v>
      </c>
    </row>
    <row r="1294" spans="1:17" ht="68" x14ac:dyDescent="0.2">
      <c r="A1294" t="s">
        <v>189</v>
      </c>
      <c r="B1294" t="s">
        <v>136</v>
      </c>
      <c r="C1294" t="s">
        <v>16</v>
      </c>
      <c r="D1294" s="3">
        <v>44287</v>
      </c>
      <c r="E1294" s="1">
        <v>44287.664675925924</v>
      </c>
      <c r="F1294" t="s">
        <v>17</v>
      </c>
      <c r="G1294" t="s">
        <v>37</v>
      </c>
      <c r="H1294" s="1">
        <v>44287.53125</v>
      </c>
      <c r="I1294" s="1">
        <v>44287.666666666664</v>
      </c>
      <c r="J1294" s="4">
        <f t="shared" si="20"/>
        <v>0.13541666666424135</v>
      </c>
      <c r="K1294" t="s">
        <v>192</v>
      </c>
      <c r="M1294">
        <v>0</v>
      </c>
      <c r="N1294" s="6">
        <v>0</v>
      </c>
      <c r="Q1294" s="2" t="s">
        <v>19</v>
      </c>
    </row>
    <row r="1295" spans="1:17" ht="68" x14ac:dyDescent="0.2">
      <c r="A1295" t="s">
        <v>189</v>
      </c>
      <c r="B1295" t="s">
        <v>136</v>
      </c>
      <c r="C1295" t="s">
        <v>16</v>
      </c>
      <c r="D1295" s="3">
        <v>44288</v>
      </c>
      <c r="E1295" s="1">
        <v>44288.47451388889</v>
      </c>
      <c r="F1295" t="s">
        <v>17</v>
      </c>
      <c r="G1295" t="s">
        <v>38</v>
      </c>
      <c r="H1295" s="1">
        <v>44288.354166666664</v>
      </c>
      <c r="I1295" s="1">
        <v>44288.479166666664</v>
      </c>
      <c r="J1295" s="4">
        <f t="shared" si="20"/>
        <v>0.125</v>
      </c>
      <c r="K1295" t="s">
        <v>190</v>
      </c>
      <c r="M1295">
        <v>2</v>
      </c>
      <c r="N1295" s="6">
        <v>0</v>
      </c>
      <c r="Q1295" s="2" t="s">
        <v>19</v>
      </c>
    </row>
    <row r="1296" spans="1:17" ht="68" x14ac:dyDescent="0.2">
      <c r="A1296" t="s">
        <v>189</v>
      </c>
      <c r="B1296" t="s">
        <v>136</v>
      </c>
      <c r="C1296" t="s">
        <v>16</v>
      </c>
      <c r="D1296" s="3">
        <v>44291</v>
      </c>
      <c r="E1296" s="1">
        <v>44291.465520833335</v>
      </c>
      <c r="F1296" t="s">
        <v>17</v>
      </c>
      <c r="G1296" t="s">
        <v>38</v>
      </c>
      <c r="H1296" s="1">
        <v>44291.354166666664</v>
      </c>
      <c r="I1296" s="1">
        <v>44291.479166666664</v>
      </c>
      <c r="J1296" s="4">
        <f t="shared" si="20"/>
        <v>0.125</v>
      </c>
      <c r="K1296" t="s">
        <v>190</v>
      </c>
      <c r="M1296">
        <v>8</v>
      </c>
      <c r="N1296" s="6">
        <v>0</v>
      </c>
      <c r="Q1296" s="2" t="s">
        <v>19</v>
      </c>
    </row>
    <row r="1297" spans="1:17" ht="68" x14ac:dyDescent="0.2">
      <c r="A1297" t="s">
        <v>189</v>
      </c>
      <c r="B1297" t="s">
        <v>136</v>
      </c>
      <c r="C1297" t="s">
        <v>16</v>
      </c>
      <c r="D1297" s="3">
        <v>44292</v>
      </c>
      <c r="E1297" s="1">
        <v>44292.489247685182</v>
      </c>
      <c r="F1297" t="s">
        <v>17</v>
      </c>
      <c r="G1297" t="s">
        <v>44</v>
      </c>
      <c r="H1297" s="1">
        <v>44292.375</v>
      </c>
      <c r="I1297" s="1">
        <v>44292.489583333336</v>
      </c>
      <c r="J1297" s="4">
        <f t="shared" si="20"/>
        <v>0.11458333333575865</v>
      </c>
      <c r="K1297" t="s">
        <v>192</v>
      </c>
      <c r="M1297">
        <v>0</v>
      </c>
      <c r="N1297" s="6">
        <v>0</v>
      </c>
      <c r="Q1297" s="2" t="s">
        <v>19</v>
      </c>
    </row>
    <row r="1298" spans="1:17" ht="68" x14ac:dyDescent="0.2">
      <c r="A1298" t="s">
        <v>189</v>
      </c>
      <c r="B1298" t="s">
        <v>136</v>
      </c>
      <c r="C1298" t="s">
        <v>16</v>
      </c>
      <c r="D1298" s="3">
        <v>44292</v>
      </c>
      <c r="E1298" s="1">
        <v>44292.661481481482</v>
      </c>
      <c r="F1298" t="s">
        <v>17</v>
      </c>
      <c r="G1298" t="s">
        <v>45</v>
      </c>
      <c r="H1298" s="1">
        <v>44292.53125</v>
      </c>
      <c r="I1298" s="1">
        <v>44292.666666666664</v>
      </c>
      <c r="J1298" s="4">
        <f t="shared" si="20"/>
        <v>0.13541666666424135</v>
      </c>
      <c r="K1298" t="s">
        <v>193</v>
      </c>
      <c r="M1298">
        <v>3</v>
      </c>
      <c r="N1298" s="6">
        <v>0</v>
      </c>
      <c r="Q1298" s="2" t="s">
        <v>19</v>
      </c>
    </row>
    <row r="1299" spans="1:17" ht="68" x14ac:dyDescent="0.2">
      <c r="A1299" t="s">
        <v>189</v>
      </c>
      <c r="B1299" t="s">
        <v>136</v>
      </c>
      <c r="C1299" t="s">
        <v>16</v>
      </c>
      <c r="D1299" s="3">
        <v>44293</v>
      </c>
      <c r="E1299" s="1">
        <v>44293.454594907409</v>
      </c>
      <c r="F1299" t="s">
        <v>17</v>
      </c>
      <c r="G1299" t="s">
        <v>18</v>
      </c>
      <c r="H1299" s="1">
        <v>44293.354166666664</v>
      </c>
      <c r="I1299" s="1">
        <v>44293.479166666664</v>
      </c>
      <c r="J1299" s="4">
        <f t="shared" si="20"/>
        <v>0.125</v>
      </c>
      <c r="K1299" t="s">
        <v>190</v>
      </c>
      <c r="M1299">
        <v>3</v>
      </c>
      <c r="N1299" s="6">
        <v>0</v>
      </c>
      <c r="Q1299" s="2" t="s">
        <v>19</v>
      </c>
    </row>
    <row r="1300" spans="1:17" ht="68" x14ac:dyDescent="0.2">
      <c r="A1300" t="s">
        <v>189</v>
      </c>
      <c r="B1300" t="s">
        <v>136</v>
      </c>
      <c r="C1300" t="s">
        <v>16</v>
      </c>
      <c r="D1300" s="3">
        <v>44293</v>
      </c>
      <c r="E1300" s="1">
        <v>44293.469953703701</v>
      </c>
      <c r="F1300" t="s">
        <v>17</v>
      </c>
      <c r="G1300" t="s">
        <v>18</v>
      </c>
      <c r="H1300" s="1">
        <v>44293.354166666664</v>
      </c>
      <c r="I1300" s="1">
        <v>44293.479166666664</v>
      </c>
      <c r="J1300" s="4">
        <f t="shared" si="20"/>
        <v>0.125</v>
      </c>
      <c r="K1300" t="s">
        <v>190</v>
      </c>
      <c r="M1300">
        <v>1</v>
      </c>
      <c r="N1300" s="6">
        <v>0</v>
      </c>
      <c r="Q1300" s="2" t="s">
        <v>19</v>
      </c>
    </row>
    <row r="1301" spans="1:17" ht="68" x14ac:dyDescent="0.2">
      <c r="A1301" t="s">
        <v>189</v>
      </c>
      <c r="B1301" t="s">
        <v>136</v>
      </c>
      <c r="C1301" t="s">
        <v>16</v>
      </c>
      <c r="D1301" s="3">
        <v>44294</v>
      </c>
      <c r="E1301" s="1">
        <v>44294.487210648149</v>
      </c>
      <c r="F1301" t="s">
        <v>17</v>
      </c>
      <c r="G1301" t="s">
        <v>46</v>
      </c>
      <c r="H1301" s="1">
        <v>44294.375</v>
      </c>
      <c r="I1301" s="1">
        <v>44294.489583333336</v>
      </c>
      <c r="J1301" s="4">
        <f t="shared" si="20"/>
        <v>0.11458333333575865</v>
      </c>
      <c r="K1301" t="s">
        <v>194</v>
      </c>
      <c r="M1301">
        <v>0</v>
      </c>
      <c r="N1301" s="6">
        <v>0</v>
      </c>
      <c r="Q1301" s="2" t="s">
        <v>19</v>
      </c>
    </row>
    <row r="1302" spans="1:17" ht="68" x14ac:dyDescent="0.2">
      <c r="A1302" t="s">
        <v>189</v>
      </c>
      <c r="B1302" t="s">
        <v>136</v>
      </c>
      <c r="C1302" t="s">
        <v>16</v>
      </c>
      <c r="D1302" s="3">
        <v>44294</v>
      </c>
      <c r="E1302" s="1">
        <v>44294.669652777775</v>
      </c>
      <c r="F1302" t="s">
        <v>17</v>
      </c>
      <c r="G1302" t="s">
        <v>42</v>
      </c>
      <c r="H1302" s="1">
        <v>44294.53125</v>
      </c>
      <c r="I1302" s="1">
        <v>44294.666666666664</v>
      </c>
      <c r="J1302" s="4">
        <f t="shared" si="20"/>
        <v>0.13541666666424135</v>
      </c>
      <c r="K1302" t="s">
        <v>192</v>
      </c>
      <c r="M1302">
        <v>0</v>
      </c>
      <c r="N1302" s="6">
        <v>0</v>
      </c>
      <c r="Q1302" s="2" t="s">
        <v>19</v>
      </c>
    </row>
    <row r="1303" spans="1:17" ht="68" x14ac:dyDescent="0.2">
      <c r="A1303" t="s">
        <v>189</v>
      </c>
      <c r="B1303" t="s">
        <v>136</v>
      </c>
      <c r="C1303" t="s">
        <v>16</v>
      </c>
      <c r="D1303" s="3">
        <v>44298</v>
      </c>
      <c r="E1303" s="1">
        <v>44298.660729166666</v>
      </c>
      <c r="F1303" t="s">
        <v>17</v>
      </c>
      <c r="G1303" t="s">
        <v>45</v>
      </c>
      <c r="H1303" s="1">
        <v>44298.53125</v>
      </c>
      <c r="I1303" s="1">
        <v>44298.666666666664</v>
      </c>
      <c r="J1303" s="4">
        <f t="shared" si="20"/>
        <v>0.13541666666424135</v>
      </c>
      <c r="K1303" t="s">
        <v>195</v>
      </c>
      <c r="M1303">
        <v>0</v>
      </c>
      <c r="N1303" s="6">
        <v>0</v>
      </c>
      <c r="Q1303" s="2" t="s">
        <v>19</v>
      </c>
    </row>
    <row r="1304" spans="1:17" ht="68" x14ac:dyDescent="0.2">
      <c r="A1304" t="s">
        <v>189</v>
      </c>
      <c r="B1304" t="s">
        <v>136</v>
      </c>
      <c r="C1304" t="s">
        <v>16</v>
      </c>
      <c r="D1304" s="3">
        <v>44299</v>
      </c>
      <c r="E1304" s="1">
        <v>44299.488576388889</v>
      </c>
      <c r="F1304" t="s">
        <v>17</v>
      </c>
      <c r="G1304" t="s">
        <v>47</v>
      </c>
      <c r="H1304" s="1">
        <v>44299.375</v>
      </c>
      <c r="I1304" s="1">
        <v>44299.510416666664</v>
      </c>
      <c r="J1304" s="4">
        <f t="shared" si="20"/>
        <v>0.13541666666424135</v>
      </c>
      <c r="K1304" t="s">
        <v>192</v>
      </c>
      <c r="M1304">
        <v>0</v>
      </c>
      <c r="N1304" s="6">
        <v>0</v>
      </c>
      <c r="Q1304" s="2" t="s">
        <v>19</v>
      </c>
    </row>
    <row r="1305" spans="1:17" ht="68" x14ac:dyDescent="0.2">
      <c r="A1305" t="s">
        <v>189</v>
      </c>
      <c r="B1305" t="s">
        <v>136</v>
      </c>
      <c r="C1305" t="s">
        <v>16</v>
      </c>
      <c r="D1305" s="3">
        <v>44299</v>
      </c>
      <c r="E1305" s="1">
        <v>44299.588958333334</v>
      </c>
      <c r="F1305" t="s">
        <v>17</v>
      </c>
      <c r="G1305" t="s">
        <v>48</v>
      </c>
      <c r="H1305" s="1">
        <v>44299.53125</v>
      </c>
      <c r="I1305" s="1">
        <v>44299.635416666664</v>
      </c>
      <c r="J1305" s="4">
        <f t="shared" si="20"/>
        <v>0.10416666666424135</v>
      </c>
      <c r="K1305" t="s">
        <v>192</v>
      </c>
      <c r="M1305">
        <v>1</v>
      </c>
      <c r="N1305" s="6">
        <v>0</v>
      </c>
      <c r="Q1305" s="2" t="s">
        <v>19</v>
      </c>
    </row>
    <row r="1306" spans="1:17" ht="68" x14ac:dyDescent="0.2">
      <c r="A1306" t="s">
        <v>189</v>
      </c>
      <c r="B1306" t="s">
        <v>136</v>
      </c>
      <c r="C1306" t="s">
        <v>16</v>
      </c>
      <c r="D1306" s="3">
        <v>44299</v>
      </c>
      <c r="E1306" s="1">
        <v>44299.667511574073</v>
      </c>
      <c r="F1306" t="s">
        <v>17</v>
      </c>
      <c r="G1306" t="s">
        <v>49</v>
      </c>
      <c r="H1306" s="1">
        <v>44299.63958333333</v>
      </c>
      <c r="I1306" s="1">
        <v>44299.666666666664</v>
      </c>
      <c r="J1306" s="4">
        <f t="shared" si="20"/>
        <v>2.7083333334303461E-2</v>
      </c>
      <c r="K1306" t="s">
        <v>196</v>
      </c>
      <c r="M1306">
        <v>0</v>
      </c>
      <c r="N1306" s="6">
        <v>0</v>
      </c>
      <c r="Q1306" s="2" t="s">
        <v>19</v>
      </c>
    </row>
    <row r="1307" spans="1:17" ht="102" x14ac:dyDescent="0.2">
      <c r="A1307" t="s">
        <v>189</v>
      </c>
      <c r="B1307" t="s">
        <v>136</v>
      </c>
      <c r="C1307" t="s">
        <v>16</v>
      </c>
      <c r="D1307" s="3">
        <v>44300</v>
      </c>
      <c r="E1307" s="1">
        <v>44300.389907407407</v>
      </c>
      <c r="F1307" t="s">
        <v>17</v>
      </c>
      <c r="G1307" t="s">
        <v>50</v>
      </c>
      <c r="H1307" s="1">
        <v>44300.375</v>
      </c>
      <c r="I1307" s="1">
        <v>44300.489583333336</v>
      </c>
      <c r="J1307" s="4">
        <f t="shared" si="20"/>
        <v>0.11458333333575865</v>
      </c>
      <c r="K1307" t="s">
        <v>197</v>
      </c>
      <c r="M1307">
        <v>10</v>
      </c>
      <c r="N1307" s="6">
        <v>0</v>
      </c>
      <c r="O1307" t="s">
        <v>88</v>
      </c>
      <c r="P1307" t="s">
        <v>89</v>
      </c>
      <c r="Q1307" s="2" t="s">
        <v>137</v>
      </c>
    </row>
    <row r="1308" spans="1:17" ht="68" x14ac:dyDescent="0.2">
      <c r="A1308" t="s">
        <v>189</v>
      </c>
      <c r="B1308" t="s">
        <v>136</v>
      </c>
      <c r="C1308" t="s">
        <v>16</v>
      </c>
      <c r="D1308" s="3">
        <v>44300</v>
      </c>
      <c r="E1308" s="1">
        <v>44300.490601851852</v>
      </c>
      <c r="F1308" t="s">
        <v>17</v>
      </c>
      <c r="G1308" t="s">
        <v>50</v>
      </c>
      <c r="H1308" s="1">
        <v>44300.375</v>
      </c>
      <c r="I1308" s="1">
        <v>44300.489583333336</v>
      </c>
      <c r="J1308" s="4">
        <f t="shared" si="20"/>
        <v>0.11458333333575865</v>
      </c>
      <c r="K1308" t="s">
        <v>197</v>
      </c>
      <c r="M1308">
        <v>0</v>
      </c>
      <c r="N1308" s="6">
        <v>0</v>
      </c>
      <c r="Q1308" s="2" t="s">
        <v>19</v>
      </c>
    </row>
    <row r="1309" spans="1:17" ht="68" x14ac:dyDescent="0.2">
      <c r="A1309" t="s">
        <v>189</v>
      </c>
      <c r="B1309" t="s">
        <v>136</v>
      </c>
      <c r="C1309" t="s">
        <v>16</v>
      </c>
      <c r="D1309" s="3">
        <v>44300</v>
      </c>
      <c r="E1309" s="1">
        <v>44300.669502314813</v>
      </c>
      <c r="F1309" t="s">
        <v>17</v>
      </c>
      <c r="G1309" t="s">
        <v>51</v>
      </c>
      <c r="H1309" s="1">
        <v>44300.552083333336</v>
      </c>
      <c r="I1309" s="1">
        <v>44300.666666666664</v>
      </c>
      <c r="J1309" s="4">
        <f t="shared" si="20"/>
        <v>0.11458333332848269</v>
      </c>
      <c r="K1309" t="s">
        <v>198</v>
      </c>
      <c r="M1309">
        <v>0</v>
      </c>
      <c r="N1309" s="6">
        <v>0</v>
      </c>
      <c r="Q1309" s="2" t="s">
        <v>19</v>
      </c>
    </row>
    <row r="1310" spans="1:17" ht="68" x14ac:dyDescent="0.2">
      <c r="A1310" t="s">
        <v>189</v>
      </c>
      <c r="B1310" t="s">
        <v>136</v>
      </c>
      <c r="C1310" t="s">
        <v>16</v>
      </c>
      <c r="D1310" s="3">
        <v>44301</v>
      </c>
      <c r="E1310" s="1">
        <v>44301.421666666669</v>
      </c>
      <c r="F1310" t="s">
        <v>17</v>
      </c>
      <c r="G1310" t="s">
        <v>52</v>
      </c>
      <c r="H1310" s="1">
        <v>44301.375</v>
      </c>
      <c r="I1310" s="1">
        <v>44301.510416666664</v>
      </c>
      <c r="J1310" s="4">
        <f t="shared" si="20"/>
        <v>0.13541666666424135</v>
      </c>
      <c r="K1310" t="s">
        <v>192</v>
      </c>
      <c r="M1310">
        <v>1</v>
      </c>
      <c r="N1310" s="6">
        <v>0</v>
      </c>
      <c r="Q1310" s="2" t="s">
        <v>19</v>
      </c>
    </row>
    <row r="1311" spans="1:17" ht="68" x14ac:dyDescent="0.2">
      <c r="A1311" t="s">
        <v>189</v>
      </c>
      <c r="B1311" t="s">
        <v>136</v>
      </c>
      <c r="C1311" t="s">
        <v>16</v>
      </c>
      <c r="D1311" s="3">
        <v>44301</v>
      </c>
      <c r="E1311" s="1">
        <v>44301.664120370369</v>
      </c>
      <c r="F1311" t="s">
        <v>17</v>
      </c>
      <c r="G1311" t="s">
        <v>37</v>
      </c>
      <c r="H1311" s="1">
        <v>44301.53125</v>
      </c>
      <c r="I1311" s="1">
        <v>44301.666666666664</v>
      </c>
      <c r="J1311" s="4">
        <f t="shared" si="20"/>
        <v>0.13541666666424135</v>
      </c>
      <c r="K1311" t="s">
        <v>192</v>
      </c>
      <c r="M1311">
        <v>0</v>
      </c>
      <c r="N1311" s="6">
        <v>0</v>
      </c>
      <c r="Q1311" s="2" t="s">
        <v>19</v>
      </c>
    </row>
    <row r="1312" spans="1:17" ht="68" x14ac:dyDescent="0.2">
      <c r="A1312" t="s">
        <v>189</v>
      </c>
      <c r="B1312" t="s">
        <v>136</v>
      </c>
      <c r="C1312" t="s">
        <v>16</v>
      </c>
      <c r="D1312" s="3">
        <v>44302</v>
      </c>
      <c r="E1312" s="1">
        <v>44302.486898148149</v>
      </c>
      <c r="F1312" t="s">
        <v>17</v>
      </c>
      <c r="G1312" t="s">
        <v>53</v>
      </c>
      <c r="H1312" s="1">
        <v>44302.395833333336</v>
      </c>
      <c r="I1312" s="1">
        <v>44302.489583333336</v>
      </c>
      <c r="J1312" s="4">
        <f t="shared" si="20"/>
        <v>9.375E-2</v>
      </c>
      <c r="K1312" t="s">
        <v>199</v>
      </c>
      <c r="M1312">
        <v>0</v>
      </c>
      <c r="N1312" s="6">
        <v>0</v>
      </c>
      <c r="Q1312" s="2" t="s">
        <v>19</v>
      </c>
    </row>
    <row r="1313" spans="1:17" ht="68" x14ac:dyDescent="0.2">
      <c r="A1313" t="s">
        <v>189</v>
      </c>
      <c r="B1313" t="s">
        <v>136</v>
      </c>
      <c r="C1313" t="s">
        <v>16</v>
      </c>
      <c r="D1313" s="3">
        <v>44302</v>
      </c>
      <c r="E1313" s="1">
        <v>44302.592106481483</v>
      </c>
      <c r="F1313" t="s">
        <v>17</v>
      </c>
      <c r="G1313" t="s">
        <v>54</v>
      </c>
      <c r="H1313" s="1">
        <v>44302.53125</v>
      </c>
      <c r="I1313" s="1">
        <v>44302.666666666664</v>
      </c>
      <c r="J1313" s="4">
        <f t="shared" si="20"/>
        <v>0.13541666666424135</v>
      </c>
      <c r="K1313" t="s">
        <v>195</v>
      </c>
      <c r="M1313">
        <v>2</v>
      </c>
      <c r="N1313" s="6">
        <v>0</v>
      </c>
      <c r="Q1313" s="2" t="s">
        <v>19</v>
      </c>
    </row>
    <row r="1314" spans="1:17" ht="68" x14ac:dyDescent="0.2">
      <c r="A1314" t="s">
        <v>189</v>
      </c>
      <c r="B1314" t="s">
        <v>136</v>
      </c>
      <c r="C1314" t="s">
        <v>16</v>
      </c>
      <c r="D1314" s="3">
        <v>44302</v>
      </c>
      <c r="E1314" s="1">
        <v>44302.658136574071</v>
      </c>
      <c r="F1314" t="s">
        <v>17</v>
      </c>
      <c r="G1314" t="s">
        <v>54</v>
      </c>
      <c r="H1314" s="1">
        <v>44302.53125</v>
      </c>
      <c r="I1314" s="1">
        <v>44302.666666666664</v>
      </c>
      <c r="J1314" s="4">
        <f t="shared" si="20"/>
        <v>0.13541666666424135</v>
      </c>
      <c r="K1314" t="s">
        <v>195</v>
      </c>
      <c r="M1314">
        <v>0</v>
      </c>
      <c r="N1314" s="6">
        <v>0</v>
      </c>
      <c r="Q1314" s="2" t="s">
        <v>19</v>
      </c>
    </row>
    <row r="1315" spans="1:17" ht="68" x14ac:dyDescent="0.2">
      <c r="A1315" t="s">
        <v>189</v>
      </c>
      <c r="B1315" t="s">
        <v>136</v>
      </c>
      <c r="C1315" t="s">
        <v>16</v>
      </c>
      <c r="D1315" s="3">
        <v>44307</v>
      </c>
      <c r="E1315" s="1">
        <v>44307.489074074074</v>
      </c>
      <c r="F1315" t="s">
        <v>17</v>
      </c>
      <c r="G1315" t="s">
        <v>36</v>
      </c>
      <c r="H1315" s="1">
        <v>44307.375</v>
      </c>
      <c r="I1315" s="1">
        <v>44307.489583333336</v>
      </c>
      <c r="J1315" s="4">
        <f t="shared" si="20"/>
        <v>0.11458333333575865</v>
      </c>
      <c r="K1315" t="s">
        <v>197</v>
      </c>
      <c r="M1315">
        <v>0</v>
      </c>
      <c r="N1315" s="6">
        <v>0</v>
      </c>
      <c r="Q1315" s="2" t="s">
        <v>19</v>
      </c>
    </row>
    <row r="1316" spans="1:17" ht="68" x14ac:dyDescent="0.2">
      <c r="A1316" t="s">
        <v>189</v>
      </c>
      <c r="B1316" t="s">
        <v>136</v>
      </c>
      <c r="C1316" t="s">
        <v>16</v>
      </c>
      <c r="D1316" s="3">
        <v>44307</v>
      </c>
      <c r="E1316" s="1">
        <v>44307.649641203701</v>
      </c>
      <c r="F1316" t="s">
        <v>17</v>
      </c>
      <c r="G1316" t="s">
        <v>37</v>
      </c>
      <c r="H1316" s="1">
        <v>44307.53125</v>
      </c>
      <c r="I1316" s="1">
        <v>44307.666666666664</v>
      </c>
      <c r="J1316" s="4">
        <f t="shared" si="20"/>
        <v>0.13541666666424135</v>
      </c>
      <c r="K1316" t="s">
        <v>195</v>
      </c>
      <c r="M1316">
        <v>1</v>
      </c>
      <c r="N1316" s="6">
        <v>0</v>
      </c>
      <c r="Q1316" s="2" t="s">
        <v>19</v>
      </c>
    </row>
    <row r="1317" spans="1:17" ht="68" x14ac:dyDescent="0.2">
      <c r="A1317" t="s">
        <v>189</v>
      </c>
      <c r="B1317" t="s">
        <v>136</v>
      </c>
      <c r="C1317" t="s">
        <v>16</v>
      </c>
      <c r="D1317" s="3">
        <v>44308</v>
      </c>
      <c r="E1317" s="1">
        <v>44308.503900462965</v>
      </c>
      <c r="F1317" t="s">
        <v>17</v>
      </c>
      <c r="G1317" t="s">
        <v>55</v>
      </c>
      <c r="H1317" s="1">
        <v>44308.375</v>
      </c>
      <c r="I1317" s="1">
        <v>44308.510416666664</v>
      </c>
      <c r="J1317" s="4">
        <f t="shared" si="20"/>
        <v>0.13541666666424135</v>
      </c>
      <c r="K1317" t="s">
        <v>200</v>
      </c>
      <c r="M1317">
        <v>0</v>
      </c>
      <c r="N1317" s="6">
        <v>0</v>
      </c>
      <c r="Q1317" s="2" t="s">
        <v>19</v>
      </c>
    </row>
    <row r="1318" spans="1:17" ht="68" x14ac:dyDescent="0.2">
      <c r="A1318" t="s">
        <v>189</v>
      </c>
      <c r="B1318" t="s">
        <v>136</v>
      </c>
      <c r="C1318" t="s">
        <v>16</v>
      </c>
      <c r="D1318" s="3">
        <v>44308</v>
      </c>
      <c r="E1318" s="1">
        <v>44308.664537037039</v>
      </c>
      <c r="F1318" t="s">
        <v>17</v>
      </c>
      <c r="G1318" t="s">
        <v>56</v>
      </c>
      <c r="H1318" s="1">
        <v>44308.541666666664</v>
      </c>
      <c r="I1318" s="1">
        <v>44308.666666666664</v>
      </c>
      <c r="J1318" s="4">
        <f t="shared" si="20"/>
        <v>0.125</v>
      </c>
      <c r="K1318" t="s">
        <v>192</v>
      </c>
      <c r="M1318">
        <v>0</v>
      </c>
      <c r="N1318" s="6">
        <v>0</v>
      </c>
      <c r="Q1318" s="2" t="s">
        <v>19</v>
      </c>
    </row>
    <row r="1319" spans="1:17" ht="68" x14ac:dyDescent="0.2">
      <c r="A1319" t="s">
        <v>189</v>
      </c>
      <c r="B1319" t="s">
        <v>136</v>
      </c>
      <c r="C1319" t="s">
        <v>16</v>
      </c>
      <c r="D1319" s="3">
        <v>44309</v>
      </c>
      <c r="E1319" s="1">
        <v>44309.612685185188</v>
      </c>
      <c r="F1319" t="s">
        <v>17</v>
      </c>
      <c r="G1319" t="s">
        <v>42</v>
      </c>
      <c r="H1319" s="1">
        <v>44309.53125</v>
      </c>
      <c r="I1319" s="1">
        <v>44309.666666666664</v>
      </c>
      <c r="J1319" s="4">
        <f t="shared" si="20"/>
        <v>0.13541666666424135</v>
      </c>
      <c r="K1319" t="s">
        <v>207</v>
      </c>
      <c r="M1319">
        <v>1</v>
      </c>
      <c r="N1319" s="6">
        <v>0</v>
      </c>
      <c r="Q1319" s="2" t="s">
        <v>19</v>
      </c>
    </row>
    <row r="1320" spans="1:17" ht="68" x14ac:dyDescent="0.2">
      <c r="A1320" t="s">
        <v>189</v>
      </c>
      <c r="B1320" t="s">
        <v>136</v>
      </c>
      <c r="C1320" t="s">
        <v>16</v>
      </c>
      <c r="D1320" s="3">
        <v>44312</v>
      </c>
      <c r="E1320" s="1">
        <v>44312.509270833332</v>
      </c>
      <c r="F1320" t="s">
        <v>17</v>
      </c>
      <c r="G1320" t="s">
        <v>44</v>
      </c>
      <c r="H1320" s="1">
        <v>44312.375</v>
      </c>
      <c r="I1320" s="1">
        <v>44312.510416666664</v>
      </c>
      <c r="J1320" s="4">
        <f t="shared" si="20"/>
        <v>0.13541666666424135</v>
      </c>
      <c r="K1320" t="s">
        <v>201</v>
      </c>
      <c r="M1320">
        <v>2</v>
      </c>
      <c r="N1320" s="6">
        <v>0</v>
      </c>
      <c r="Q1320" s="2" t="s">
        <v>19</v>
      </c>
    </row>
    <row r="1321" spans="1:17" ht="68" x14ac:dyDescent="0.2">
      <c r="A1321" t="s">
        <v>189</v>
      </c>
      <c r="B1321" t="s">
        <v>136</v>
      </c>
      <c r="C1321" t="s">
        <v>16</v>
      </c>
      <c r="D1321" s="3">
        <v>44312</v>
      </c>
      <c r="E1321" s="1">
        <v>44312.649722222224</v>
      </c>
      <c r="F1321" t="s">
        <v>17</v>
      </c>
      <c r="G1321" t="s">
        <v>57</v>
      </c>
      <c r="H1321" s="1">
        <v>44312.53125</v>
      </c>
      <c r="I1321" s="1">
        <v>44312.666666666664</v>
      </c>
      <c r="J1321" s="4">
        <f t="shared" si="20"/>
        <v>0.13541666666424135</v>
      </c>
      <c r="K1321" t="s">
        <v>195</v>
      </c>
      <c r="M1321">
        <v>0</v>
      </c>
      <c r="N1321" s="6">
        <v>0</v>
      </c>
      <c r="Q1321" s="2" t="s">
        <v>19</v>
      </c>
    </row>
    <row r="1322" spans="1:17" ht="68" x14ac:dyDescent="0.2">
      <c r="A1322" t="s">
        <v>189</v>
      </c>
      <c r="B1322" t="s">
        <v>136</v>
      </c>
      <c r="C1322" t="s">
        <v>16</v>
      </c>
      <c r="D1322" s="3">
        <v>44313</v>
      </c>
      <c r="E1322" s="1">
        <v>44313.487858796296</v>
      </c>
      <c r="F1322" t="s">
        <v>17</v>
      </c>
      <c r="G1322" t="s">
        <v>55</v>
      </c>
      <c r="H1322" s="1">
        <v>44313.375</v>
      </c>
      <c r="I1322" s="1">
        <v>44313.489583333336</v>
      </c>
      <c r="J1322" s="4">
        <f t="shared" si="20"/>
        <v>0.11458333333575865</v>
      </c>
      <c r="K1322" t="s">
        <v>200</v>
      </c>
      <c r="M1322">
        <v>1</v>
      </c>
      <c r="N1322" s="6">
        <v>0</v>
      </c>
      <c r="Q1322" s="2" t="s">
        <v>19</v>
      </c>
    </row>
    <row r="1323" spans="1:17" ht="68" x14ac:dyDescent="0.2">
      <c r="A1323" t="s">
        <v>189</v>
      </c>
      <c r="B1323" t="s">
        <v>136</v>
      </c>
      <c r="C1323" t="s">
        <v>16</v>
      </c>
      <c r="D1323" s="3">
        <v>44313</v>
      </c>
      <c r="E1323" s="1">
        <v>44313.539583333331</v>
      </c>
      <c r="F1323" t="s">
        <v>17</v>
      </c>
      <c r="G1323" t="s">
        <v>37</v>
      </c>
      <c r="H1323" s="1">
        <v>44313.53125</v>
      </c>
      <c r="I1323" s="1">
        <v>44313.541666666664</v>
      </c>
      <c r="J1323" s="4">
        <f t="shared" si="20"/>
        <v>1.0416666664241347E-2</v>
      </c>
      <c r="K1323" t="s">
        <v>202</v>
      </c>
      <c r="M1323">
        <v>0</v>
      </c>
      <c r="N1323" s="6">
        <v>0</v>
      </c>
      <c r="Q1323" s="2" t="s">
        <v>19</v>
      </c>
    </row>
    <row r="1324" spans="1:17" ht="68" x14ac:dyDescent="0.2">
      <c r="A1324" t="s">
        <v>189</v>
      </c>
      <c r="B1324" t="s">
        <v>136</v>
      </c>
      <c r="C1324" t="s">
        <v>16</v>
      </c>
      <c r="D1324" s="3">
        <v>44313</v>
      </c>
      <c r="E1324" s="1">
        <v>44313.664768518516</v>
      </c>
      <c r="F1324" t="s">
        <v>17</v>
      </c>
      <c r="G1324" t="s">
        <v>58</v>
      </c>
      <c r="H1324" s="1">
        <v>44313.541666666664</v>
      </c>
      <c r="I1324" s="1">
        <v>44313.666666666664</v>
      </c>
      <c r="J1324" s="4">
        <f t="shared" si="20"/>
        <v>0.125</v>
      </c>
      <c r="K1324" t="s">
        <v>192</v>
      </c>
      <c r="M1324">
        <v>0</v>
      </c>
      <c r="N1324" s="6">
        <v>0</v>
      </c>
      <c r="Q1324" s="2" t="s">
        <v>19</v>
      </c>
    </row>
    <row r="1325" spans="1:17" ht="68" x14ac:dyDescent="0.2">
      <c r="A1325" t="s">
        <v>189</v>
      </c>
      <c r="B1325" t="s">
        <v>136</v>
      </c>
      <c r="C1325" t="s">
        <v>16</v>
      </c>
      <c r="D1325" s="3">
        <v>44314</v>
      </c>
      <c r="E1325" s="1">
        <v>44314.491782407407</v>
      </c>
      <c r="F1325" t="s">
        <v>17</v>
      </c>
      <c r="G1325" t="s">
        <v>53</v>
      </c>
      <c r="H1325" s="1">
        <v>44314.375</v>
      </c>
      <c r="I1325" s="1">
        <v>44314.489583333336</v>
      </c>
      <c r="J1325" s="4">
        <f t="shared" si="20"/>
        <v>0.11458333333575865</v>
      </c>
      <c r="K1325" t="s">
        <v>203</v>
      </c>
      <c r="M1325">
        <v>4</v>
      </c>
      <c r="N1325" s="6">
        <v>0</v>
      </c>
      <c r="Q1325" s="2" t="s">
        <v>19</v>
      </c>
    </row>
    <row r="1326" spans="1:17" ht="68" x14ac:dyDescent="0.2">
      <c r="A1326" t="s">
        <v>189</v>
      </c>
      <c r="B1326" t="s">
        <v>136</v>
      </c>
      <c r="C1326" t="s">
        <v>16</v>
      </c>
      <c r="D1326" s="3">
        <v>44314</v>
      </c>
      <c r="E1326" s="1">
        <v>44314.497453703705</v>
      </c>
      <c r="F1326" t="s">
        <v>17</v>
      </c>
      <c r="G1326" t="s">
        <v>53</v>
      </c>
      <c r="H1326" s="1">
        <v>44314.375</v>
      </c>
      <c r="I1326" s="1">
        <v>44314.489583333336</v>
      </c>
      <c r="J1326" s="4">
        <f t="shared" si="20"/>
        <v>0.11458333333575865</v>
      </c>
      <c r="K1326" t="s">
        <v>203</v>
      </c>
      <c r="M1326">
        <v>0</v>
      </c>
      <c r="N1326" s="6">
        <v>0</v>
      </c>
      <c r="Q1326" s="2" t="s">
        <v>19</v>
      </c>
    </row>
    <row r="1327" spans="1:17" ht="68" x14ac:dyDescent="0.2">
      <c r="A1327" t="s">
        <v>189</v>
      </c>
      <c r="B1327" t="s">
        <v>136</v>
      </c>
      <c r="C1327" t="s">
        <v>16</v>
      </c>
      <c r="D1327" s="3">
        <v>44314</v>
      </c>
      <c r="E1327" s="1">
        <v>44314.652743055558</v>
      </c>
      <c r="F1327" t="s">
        <v>17</v>
      </c>
      <c r="G1327" t="s">
        <v>59</v>
      </c>
      <c r="H1327" s="1">
        <v>44314.53125</v>
      </c>
      <c r="I1327" s="1">
        <v>44314.666666666664</v>
      </c>
      <c r="J1327" s="4">
        <f t="shared" si="20"/>
        <v>0.13541666666424135</v>
      </c>
      <c r="K1327" t="s">
        <v>195</v>
      </c>
      <c r="M1327">
        <v>1</v>
      </c>
      <c r="N1327" s="6">
        <v>0</v>
      </c>
      <c r="Q1327" s="2" t="s">
        <v>19</v>
      </c>
    </row>
    <row r="1328" spans="1:17" ht="68" x14ac:dyDescent="0.2">
      <c r="A1328" t="s">
        <v>189</v>
      </c>
      <c r="B1328" t="s">
        <v>136</v>
      </c>
      <c r="C1328" t="s">
        <v>16</v>
      </c>
      <c r="D1328" s="3">
        <v>44315</v>
      </c>
      <c r="E1328" s="1">
        <v>44315.486111111109</v>
      </c>
      <c r="F1328" t="s">
        <v>17</v>
      </c>
      <c r="G1328" t="s">
        <v>43</v>
      </c>
      <c r="H1328" s="1">
        <v>44315.375</v>
      </c>
      <c r="I1328" s="1">
        <v>44315.489583333336</v>
      </c>
      <c r="J1328" s="4">
        <f t="shared" si="20"/>
        <v>0.11458333333575865</v>
      </c>
      <c r="K1328" t="s">
        <v>200</v>
      </c>
      <c r="M1328">
        <v>0</v>
      </c>
      <c r="N1328" s="6">
        <v>0</v>
      </c>
      <c r="Q1328" s="2" t="s">
        <v>19</v>
      </c>
    </row>
    <row r="1329" spans="1:17" ht="68" x14ac:dyDescent="0.2">
      <c r="A1329" t="s">
        <v>189</v>
      </c>
      <c r="B1329" t="s">
        <v>136</v>
      </c>
      <c r="C1329" t="s">
        <v>16</v>
      </c>
      <c r="D1329" s="3">
        <v>44315</v>
      </c>
      <c r="E1329" s="1">
        <v>44315.542500000003</v>
      </c>
      <c r="F1329" t="s">
        <v>17</v>
      </c>
      <c r="G1329" t="s">
        <v>35</v>
      </c>
      <c r="H1329" s="1">
        <v>44315.53125</v>
      </c>
      <c r="I1329" s="1">
        <v>44315.541666666664</v>
      </c>
      <c r="J1329" s="4">
        <f t="shared" si="20"/>
        <v>1.0416666664241347E-2</v>
      </c>
      <c r="K1329" t="s">
        <v>202</v>
      </c>
      <c r="M1329">
        <v>0</v>
      </c>
      <c r="N1329" s="6">
        <v>0</v>
      </c>
      <c r="Q1329" s="2" t="s">
        <v>19</v>
      </c>
    </row>
    <row r="1330" spans="1:17" ht="68" x14ac:dyDescent="0.2">
      <c r="A1330" t="s">
        <v>189</v>
      </c>
      <c r="B1330" t="s">
        <v>136</v>
      </c>
      <c r="C1330" t="s">
        <v>16</v>
      </c>
      <c r="D1330" s="3">
        <v>44315</v>
      </c>
      <c r="E1330" s="1">
        <v>44315.564317129632</v>
      </c>
      <c r="F1330" t="s">
        <v>17</v>
      </c>
      <c r="G1330" t="s">
        <v>60</v>
      </c>
      <c r="H1330" s="1">
        <v>44315.541666666664</v>
      </c>
      <c r="I1330" s="1">
        <v>44315.666666666664</v>
      </c>
      <c r="J1330" s="4">
        <f t="shared" si="20"/>
        <v>0.125</v>
      </c>
      <c r="K1330" t="s">
        <v>192</v>
      </c>
      <c r="M1330">
        <v>1</v>
      </c>
      <c r="N1330" s="6">
        <v>0</v>
      </c>
      <c r="Q1330" s="2" t="s">
        <v>19</v>
      </c>
    </row>
    <row r="1331" spans="1:17" ht="68" x14ac:dyDescent="0.2">
      <c r="A1331" t="s">
        <v>189</v>
      </c>
      <c r="B1331" t="s">
        <v>136</v>
      </c>
      <c r="C1331" t="s">
        <v>16</v>
      </c>
      <c r="D1331" s="3">
        <v>44316</v>
      </c>
      <c r="E1331" s="1">
        <v>44316.50172453704</v>
      </c>
      <c r="F1331" t="s">
        <v>17</v>
      </c>
      <c r="G1331" t="s">
        <v>61</v>
      </c>
      <c r="H1331" s="1">
        <v>44316.375</v>
      </c>
      <c r="I1331" s="1">
        <v>44316.489583333336</v>
      </c>
      <c r="J1331" s="4">
        <f t="shared" si="20"/>
        <v>0.11458333333575865</v>
      </c>
      <c r="K1331" t="s">
        <v>204</v>
      </c>
      <c r="M1331">
        <v>0</v>
      </c>
      <c r="N1331" s="6">
        <v>0</v>
      </c>
      <c r="Q1331" s="2" t="s">
        <v>19</v>
      </c>
    </row>
    <row r="1332" spans="1:17" ht="68" x14ac:dyDescent="0.2">
      <c r="A1332" t="s">
        <v>189</v>
      </c>
      <c r="B1332" t="s">
        <v>136</v>
      </c>
      <c r="C1332" t="s">
        <v>16</v>
      </c>
      <c r="D1332" s="3">
        <v>44316</v>
      </c>
      <c r="E1332" s="1">
        <v>44316.616782407407</v>
      </c>
      <c r="F1332" t="s">
        <v>17</v>
      </c>
      <c r="G1332" t="s">
        <v>62</v>
      </c>
      <c r="H1332" s="1">
        <v>44316.510416666664</v>
      </c>
      <c r="I1332" s="1">
        <v>44316.65625</v>
      </c>
      <c r="J1332" s="4">
        <f t="shared" si="20"/>
        <v>0.14583333333575865</v>
      </c>
      <c r="K1332" t="s">
        <v>195</v>
      </c>
      <c r="M1332">
        <v>0</v>
      </c>
      <c r="N1332" s="6">
        <v>0</v>
      </c>
      <c r="Q1332" s="2" t="s">
        <v>19</v>
      </c>
    </row>
    <row r="1333" spans="1:17" ht="68" x14ac:dyDescent="0.2">
      <c r="A1333" t="s">
        <v>189</v>
      </c>
      <c r="B1333" t="s">
        <v>136</v>
      </c>
      <c r="C1333" t="s">
        <v>16</v>
      </c>
      <c r="D1333" s="3">
        <v>44319</v>
      </c>
      <c r="E1333" s="1">
        <v>44319.483912037038</v>
      </c>
      <c r="F1333" t="s">
        <v>17</v>
      </c>
      <c r="G1333" t="s">
        <v>63</v>
      </c>
      <c r="H1333" s="1">
        <v>44319.385416666664</v>
      </c>
      <c r="I1333" s="1">
        <v>44319.489583333336</v>
      </c>
      <c r="J1333" s="4">
        <f t="shared" si="20"/>
        <v>0.10416666667151731</v>
      </c>
      <c r="K1333" t="s">
        <v>199</v>
      </c>
      <c r="M1333">
        <v>0</v>
      </c>
      <c r="N1333" s="6">
        <v>0</v>
      </c>
      <c r="Q1333" s="2" t="s">
        <v>19</v>
      </c>
    </row>
    <row r="1334" spans="1:17" ht="68" x14ac:dyDescent="0.2">
      <c r="A1334" t="s">
        <v>189</v>
      </c>
      <c r="B1334" t="s">
        <v>136</v>
      </c>
      <c r="C1334" t="s">
        <v>16</v>
      </c>
      <c r="D1334" s="3">
        <v>44319</v>
      </c>
      <c r="E1334" s="1">
        <v>44319.622361111113</v>
      </c>
      <c r="F1334" t="s">
        <v>17</v>
      </c>
      <c r="G1334" t="s">
        <v>45</v>
      </c>
      <c r="H1334" s="1">
        <v>44319.53125</v>
      </c>
      <c r="I1334" s="1">
        <v>44319.666666666664</v>
      </c>
      <c r="J1334" s="4">
        <f t="shared" si="20"/>
        <v>0.13541666666424135</v>
      </c>
      <c r="K1334" t="s">
        <v>195</v>
      </c>
      <c r="M1334">
        <v>0</v>
      </c>
      <c r="N1334" s="6">
        <v>0</v>
      </c>
      <c r="Q1334" s="2" t="s">
        <v>19</v>
      </c>
    </row>
    <row r="1335" spans="1:17" ht="68" x14ac:dyDescent="0.2">
      <c r="A1335" t="s">
        <v>189</v>
      </c>
      <c r="B1335" t="s">
        <v>136</v>
      </c>
      <c r="C1335" t="s">
        <v>16</v>
      </c>
      <c r="D1335" s="3">
        <v>44319</v>
      </c>
      <c r="E1335" s="1">
        <v>44319.654861111114</v>
      </c>
      <c r="F1335" t="s">
        <v>17</v>
      </c>
      <c r="G1335" t="s">
        <v>45</v>
      </c>
      <c r="H1335" s="1">
        <v>44319.53125</v>
      </c>
      <c r="I1335" s="1">
        <v>44319.666666666664</v>
      </c>
      <c r="J1335" s="4">
        <f t="shared" si="20"/>
        <v>0.13541666666424135</v>
      </c>
      <c r="K1335" t="s">
        <v>195</v>
      </c>
      <c r="M1335">
        <v>0</v>
      </c>
      <c r="N1335" s="6">
        <v>0</v>
      </c>
      <c r="Q1335" s="2" t="s">
        <v>19</v>
      </c>
    </row>
    <row r="1336" spans="1:17" ht="68" x14ac:dyDescent="0.2">
      <c r="A1336" t="s">
        <v>189</v>
      </c>
      <c r="B1336" t="s">
        <v>136</v>
      </c>
      <c r="C1336" t="s">
        <v>16</v>
      </c>
      <c r="D1336" s="3">
        <v>44320</v>
      </c>
      <c r="E1336" s="1">
        <v>44320.48715277778</v>
      </c>
      <c r="F1336" t="s">
        <v>17</v>
      </c>
      <c r="G1336" t="s">
        <v>64</v>
      </c>
      <c r="H1336" s="1">
        <v>44320.380555555559</v>
      </c>
      <c r="I1336" s="1">
        <v>44320.492361111108</v>
      </c>
      <c r="J1336" s="4">
        <f t="shared" si="20"/>
        <v>0.11180555554892635</v>
      </c>
      <c r="K1336" t="s">
        <v>205</v>
      </c>
      <c r="M1336">
        <v>1</v>
      </c>
      <c r="N1336" s="6">
        <v>0</v>
      </c>
      <c r="Q1336" s="2" t="s">
        <v>19</v>
      </c>
    </row>
    <row r="1337" spans="1:17" ht="68" x14ac:dyDescent="0.2">
      <c r="A1337" t="s">
        <v>189</v>
      </c>
      <c r="B1337" t="s">
        <v>136</v>
      </c>
      <c r="C1337" t="s">
        <v>16</v>
      </c>
      <c r="D1337" s="3">
        <v>44321</v>
      </c>
      <c r="E1337" s="1">
        <v>44321.406736111108</v>
      </c>
      <c r="F1337" t="s">
        <v>17</v>
      </c>
      <c r="G1337" t="s">
        <v>36</v>
      </c>
      <c r="H1337" s="1">
        <v>44321.395833333336</v>
      </c>
      <c r="I1337" s="1">
        <v>44321.489583333336</v>
      </c>
      <c r="J1337" s="4">
        <f t="shared" si="20"/>
        <v>9.375E-2</v>
      </c>
      <c r="K1337" t="s">
        <v>206</v>
      </c>
      <c r="M1337">
        <v>1</v>
      </c>
      <c r="N1337" s="6">
        <v>0</v>
      </c>
      <c r="Q1337" s="2" t="s">
        <v>19</v>
      </c>
    </row>
    <row r="1338" spans="1:17" ht="68" x14ac:dyDescent="0.2">
      <c r="A1338" t="s">
        <v>189</v>
      </c>
      <c r="B1338" t="s">
        <v>136</v>
      </c>
      <c r="C1338" t="s">
        <v>16</v>
      </c>
      <c r="D1338" s="3">
        <v>44321</v>
      </c>
      <c r="E1338" s="1">
        <v>44321.645115740743</v>
      </c>
      <c r="F1338" t="s">
        <v>17</v>
      </c>
      <c r="G1338" t="s">
        <v>66</v>
      </c>
      <c r="H1338" s="1">
        <v>44321.510416666664</v>
      </c>
      <c r="I1338" s="1">
        <v>44321.666666666664</v>
      </c>
      <c r="J1338" s="4">
        <f t="shared" si="20"/>
        <v>0.15625</v>
      </c>
      <c r="K1338" t="s">
        <v>195</v>
      </c>
      <c r="M1338">
        <v>3</v>
      </c>
      <c r="N1338" s="6">
        <v>0</v>
      </c>
      <c r="Q1338" s="2" t="s">
        <v>19</v>
      </c>
    </row>
    <row r="1339" spans="1:17" ht="68" x14ac:dyDescent="0.2">
      <c r="A1339" t="s">
        <v>189</v>
      </c>
      <c r="B1339" t="s">
        <v>136</v>
      </c>
      <c r="C1339" t="s">
        <v>16</v>
      </c>
      <c r="D1339" s="3">
        <v>44326</v>
      </c>
      <c r="E1339" s="1">
        <v>44326.489571759259</v>
      </c>
      <c r="F1339" t="s">
        <v>17</v>
      </c>
      <c r="G1339" t="s">
        <v>63</v>
      </c>
      <c r="H1339" s="1">
        <v>44326.375</v>
      </c>
      <c r="I1339" s="1">
        <v>44326.489583333336</v>
      </c>
      <c r="J1339" s="4">
        <f t="shared" si="20"/>
        <v>0.11458333333575865</v>
      </c>
      <c r="K1339" t="s">
        <v>199</v>
      </c>
      <c r="M1339">
        <v>0</v>
      </c>
      <c r="N1339" s="6">
        <v>0</v>
      </c>
      <c r="Q1339" s="2" t="s">
        <v>19</v>
      </c>
    </row>
    <row r="1340" spans="1:17" ht="68" x14ac:dyDescent="0.2">
      <c r="A1340" t="s">
        <v>189</v>
      </c>
      <c r="B1340" t="s">
        <v>136</v>
      </c>
      <c r="C1340" t="s">
        <v>16</v>
      </c>
      <c r="D1340" s="3">
        <v>44326</v>
      </c>
      <c r="E1340" s="1">
        <v>44326.648368055554</v>
      </c>
      <c r="F1340" t="s">
        <v>17</v>
      </c>
      <c r="G1340" t="s">
        <v>59</v>
      </c>
      <c r="H1340" s="1">
        <v>44326.53125</v>
      </c>
      <c r="I1340" s="1">
        <v>44326.666666666664</v>
      </c>
      <c r="J1340" s="4">
        <f t="shared" si="20"/>
        <v>0.13541666666424135</v>
      </c>
      <c r="K1340" t="s">
        <v>195</v>
      </c>
      <c r="M1340">
        <v>0</v>
      </c>
      <c r="N1340" s="6">
        <v>0</v>
      </c>
      <c r="Q1340" s="2" t="s">
        <v>19</v>
      </c>
    </row>
    <row r="1341" spans="1:17" ht="68" x14ac:dyDescent="0.2">
      <c r="A1341" t="s">
        <v>189</v>
      </c>
      <c r="B1341" t="s">
        <v>136</v>
      </c>
      <c r="C1341" t="s">
        <v>16</v>
      </c>
      <c r="D1341" s="3">
        <v>44327</v>
      </c>
      <c r="E1341" s="1">
        <v>44327.475335648145</v>
      </c>
      <c r="F1341" t="s">
        <v>17</v>
      </c>
      <c r="G1341" t="s">
        <v>39</v>
      </c>
      <c r="H1341" s="1">
        <v>44327.375</v>
      </c>
      <c r="I1341" s="1">
        <v>44327.489583333336</v>
      </c>
      <c r="J1341" s="4">
        <f t="shared" si="20"/>
        <v>0.11458333333575865</v>
      </c>
      <c r="K1341" t="s">
        <v>190</v>
      </c>
      <c r="M1341">
        <v>1</v>
      </c>
      <c r="N1341" s="6">
        <v>0</v>
      </c>
      <c r="Q1341" s="2" t="s">
        <v>19</v>
      </c>
    </row>
    <row r="1342" spans="1:17" ht="68" x14ac:dyDescent="0.2">
      <c r="A1342" t="s">
        <v>189</v>
      </c>
      <c r="B1342" t="s">
        <v>136</v>
      </c>
      <c r="C1342" t="s">
        <v>16</v>
      </c>
      <c r="D1342" s="3">
        <v>44327</v>
      </c>
      <c r="E1342" s="1">
        <v>44327.861180555556</v>
      </c>
      <c r="F1342" t="s">
        <v>17</v>
      </c>
      <c r="G1342" t="s">
        <v>68</v>
      </c>
      <c r="H1342" s="1">
        <v>44327.541666666664</v>
      </c>
      <c r="I1342" s="1">
        <v>44327.583333333336</v>
      </c>
      <c r="J1342" s="4">
        <f t="shared" si="20"/>
        <v>4.1666666671517305E-2</v>
      </c>
      <c r="K1342" t="s">
        <v>192</v>
      </c>
      <c r="M1342">
        <v>0</v>
      </c>
      <c r="N1342" s="6">
        <v>0</v>
      </c>
      <c r="Q1342" s="2" t="s">
        <v>19</v>
      </c>
    </row>
    <row r="1343" spans="1:17" ht="68" x14ac:dyDescent="0.2">
      <c r="A1343" t="s">
        <v>189</v>
      </c>
      <c r="B1343" t="s">
        <v>136</v>
      </c>
      <c r="C1343" t="s">
        <v>16</v>
      </c>
      <c r="D1343" s="3">
        <v>44328</v>
      </c>
      <c r="E1343" s="1">
        <v>44328.656909722224</v>
      </c>
      <c r="F1343" t="s">
        <v>17</v>
      </c>
      <c r="G1343" t="s">
        <v>45</v>
      </c>
      <c r="H1343" s="1">
        <v>44328.53125</v>
      </c>
      <c r="I1343" s="1">
        <v>44328.666666666664</v>
      </c>
      <c r="J1343" s="4">
        <f t="shared" si="20"/>
        <v>0.13541666666424135</v>
      </c>
      <c r="K1343" t="s">
        <v>195</v>
      </c>
      <c r="M1343">
        <v>0</v>
      </c>
      <c r="N1343" s="6">
        <v>0</v>
      </c>
      <c r="Q1343" s="2" t="s">
        <v>19</v>
      </c>
    </row>
    <row r="1344" spans="1:17" ht="68" x14ac:dyDescent="0.2">
      <c r="A1344" t="s">
        <v>189</v>
      </c>
      <c r="B1344" t="s">
        <v>136</v>
      </c>
      <c r="C1344" t="s">
        <v>16</v>
      </c>
      <c r="D1344" s="3">
        <v>44334</v>
      </c>
      <c r="E1344" s="1">
        <v>44334.486689814818</v>
      </c>
      <c r="F1344" t="s">
        <v>17</v>
      </c>
      <c r="G1344" t="s">
        <v>55</v>
      </c>
      <c r="H1344" s="1">
        <v>44334.375</v>
      </c>
      <c r="I1344" s="1">
        <v>44334.489583333336</v>
      </c>
      <c r="J1344" s="4">
        <f t="shared" si="20"/>
        <v>0.11458333333575865</v>
      </c>
      <c r="K1344" t="s">
        <v>200</v>
      </c>
      <c r="M1344">
        <v>6</v>
      </c>
      <c r="N1344" s="6">
        <v>0</v>
      </c>
      <c r="Q1344" s="2" t="s">
        <v>19</v>
      </c>
    </row>
    <row r="1345" spans="1:17" ht="68" x14ac:dyDescent="0.2">
      <c r="A1345" t="s">
        <v>189</v>
      </c>
      <c r="B1345" t="s">
        <v>136</v>
      </c>
      <c r="C1345" t="s">
        <v>16</v>
      </c>
      <c r="D1345" s="3">
        <v>44334</v>
      </c>
      <c r="E1345" s="1">
        <v>44334.668263888889</v>
      </c>
      <c r="F1345" t="s">
        <v>17</v>
      </c>
      <c r="G1345" t="s">
        <v>69</v>
      </c>
      <c r="H1345" s="1">
        <v>44334.541666666664</v>
      </c>
      <c r="I1345" s="1">
        <v>44334.666666666664</v>
      </c>
      <c r="J1345" s="4">
        <f t="shared" si="20"/>
        <v>0.125</v>
      </c>
      <c r="K1345" t="s">
        <v>192</v>
      </c>
      <c r="M1345">
        <v>0</v>
      </c>
      <c r="N1345" s="6">
        <v>0</v>
      </c>
      <c r="Q1345" s="2" t="s">
        <v>19</v>
      </c>
    </row>
    <row r="1346" spans="1:17" ht="68" x14ac:dyDescent="0.2">
      <c r="A1346" t="s">
        <v>189</v>
      </c>
      <c r="B1346" t="s">
        <v>136</v>
      </c>
      <c r="C1346" t="s">
        <v>16</v>
      </c>
      <c r="D1346" s="3">
        <v>44335</v>
      </c>
      <c r="E1346" s="1">
        <v>44335.66170138889</v>
      </c>
      <c r="F1346" t="s">
        <v>17</v>
      </c>
      <c r="G1346" t="s">
        <v>70</v>
      </c>
      <c r="H1346" s="1">
        <v>44335.53125</v>
      </c>
      <c r="I1346" s="1">
        <v>44335.65625</v>
      </c>
      <c r="J1346" s="4">
        <f t="shared" si="20"/>
        <v>0.125</v>
      </c>
      <c r="K1346" t="s">
        <v>200</v>
      </c>
      <c r="M1346">
        <v>0</v>
      </c>
      <c r="N1346" s="6">
        <v>0</v>
      </c>
      <c r="Q1346" s="2" t="s">
        <v>19</v>
      </c>
    </row>
    <row r="1347" spans="1:17" ht="68" x14ac:dyDescent="0.2">
      <c r="A1347" t="s">
        <v>189</v>
      </c>
      <c r="B1347" t="s">
        <v>136</v>
      </c>
      <c r="C1347" t="s">
        <v>16</v>
      </c>
      <c r="D1347" s="3">
        <v>44336</v>
      </c>
      <c r="E1347" s="1">
        <v>44336.488634259258</v>
      </c>
      <c r="F1347" t="s">
        <v>17</v>
      </c>
      <c r="G1347" t="s">
        <v>52</v>
      </c>
      <c r="H1347" s="1">
        <v>44336.375</v>
      </c>
      <c r="I1347" s="1">
        <v>44336.489583333336</v>
      </c>
      <c r="J1347" s="4">
        <f t="shared" ref="J1347:J1410" si="21">IF($I1347="","",$I1347-$H1347)</f>
        <v>0.11458333333575865</v>
      </c>
      <c r="K1347" t="s">
        <v>200</v>
      </c>
      <c r="M1347">
        <v>0</v>
      </c>
      <c r="N1347" s="6">
        <v>0</v>
      </c>
      <c r="Q1347" s="2" t="s">
        <v>19</v>
      </c>
    </row>
    <row r="1348" spans="1:17" ht="68" x14ac:dyDescent="0.2">
      <c r="A1348" t="s">
        <v>189</v>
      </c>
      <c r="B1348" t="s">
        <v>136</v>
      </c>
      <c r="C1348" t="s">
        <v>16</v>
      </c>
      <c r="D1348" s="3">
        <v>44336</v>
      </c>
      <c r="E1348" s="1">
        <v>44336.657569444447</v>
      </c>
      <c r="F1348" t="s">
        <v>17</v>
      </c>
      <c r="G1348" t="s">
        <v>59</v>
      </c>
      <c r="H1348" s="1">
        <v>44336.53125</v>
      </c>
      <c r="I1348" s="1">
        <v>44336.65625</v>
      </c>
      <c r="J1348" s="4">
        <f t="shared" si="21"/>
        <v>0.125</v>
      </c>
      <c r="K1348" t="s">
        <v>192</v>
      </c>
      <c r="M1348">
        <v>0</v>
      </c>
      <c r="N1348" s="6">
        <v>0</v>
      </c>
      <c r="Q1348" s="2" t="s">
        <v>19</v>
      </c>
    </row>
    <row r="1349" spans="1:17" ht="68" x14ac:dyDescent="0.2">
      <c r="A1349" t="s">
        <v>189</v>
      </c>
      <c r="B1349" t="s">
        <v>136</v>
      </c>
      <c r="C1349" t="s">
        <v>16</v>
      </c>
      <c r="D1349" s="3">
        <v>44337</v>
      </c>
      <c r="E1349" s="1">
        <v>44337.485636574071</v>
      </c>
      <c r="F1349" t="s">
        <v>17</v>
      </c>
      <c r="G1349" t="s">
        <v>44</v>
      </c>
      <c r="H1349" s="1">
        <v>44337.375</v>
      </c>
      <c r="I1349" s="1">
        <v>44337.489583333336</v>
      </c>
      <c r="J1349" s="4">
        <f t="shared" si="21"/>
        <v>0.11458333333575865</v>
      </c>
      <c r="K1349" t="s">
        <v>199</v>
      </c>
      <c r="M1349">
        <v>0</v>
      </c>
      <c r="N1349" s="6">
        <v>0</v>
      </c>
      <c r="Q1349" s="2" t="s">
        <v>19</v>
      </c>
    </row>
    <row r="1350" spans="1:17" ht="68" x14ac:dyDescent="0.2">
      <c r="A1350" t="s">
        <v>189</v>
      </c>
      <c r="B1350" t="s">
        <v>136</v>
      </c>
      <c r="C1350" t="s">
        <v>16</v>
      </c>
      <c r="D1350" s="3">
        <v>44338</v>
      </c>
      <c r="E1350" s="1">
        <v>44338.493842592594</v>
      </c>
      <c r="F1350" t="s">
        <v>17</v>
      </c>
      <c r="G1350" t="s">
        <v>47</v>
      </c>
      <c r="H1350" s="1">
        <v>44338.375</v>
      </c>
      <c r="I1350" s="1">
        <v>44338.489583333336</v>
      </c>
      <c r="J1350" s="4">
        <f t="shared" si="21"/>
        <v>0.11458333333575865</v>
      </c>
      <c r="K1350" t="s">
        <v>209</v>
      </c>
      <c r="M1350">
        <v>0</v>
      </c>
      <c r="N1350" s="6">
        <v>0</v>
      </c>
      <c r="Q1350" s="2" t="s">
        <v>19</v>
      </c>
    </row>
    <row r="1351" spans="1:17" ht="68" x14ac:dyDescent="0.2">
      <c r="A1351" t="s">
        <v>189</v>
      </c>
      <c r="B1351" t="s">
        <v>136</v>
      </c>
      <c r="C1351" t="s">
        <v>16</v>
      </c>
      <c r="D1351" s="3">
        <v>44338</v>
      </c>
      <c r="E1351" s="1">
        <v>44338.631793981483</v>
      </c>
      <c r="F1351" t="s">
        <v>17</v>
      </c>
      <c r="G1351" t="s">
        <v>42</v>
      </c>
      <c r="H1351" s="1">
        <v>44338.53125</v>
      </c>
      <c r="I1351" s="1">
        <v>44338.645833333336</v>
      </c>
      <c r="J1351" s="4">
        <f t="shared" si="21"/>
        <v>0.11458333333575865</v>
      </c>
      <c r="K1351" t="s">
        <v>210</v>
      </c>
      <c r="M1351">
        <v>0</v>
      </c>
      <c r="N1351" s="6">
        <v>0</v>
      </c>
      <c r="Q1351" s="2" t="s">
        <v>19</v>
      </c>
    </row>
    <row r="1352" spans="1:17" ht="68" x14ac:dyDescent="0.2">
      <c r="A1352" t="s">
        <v>189</v>
      </c>
      <c r="B1352" t="s">
        <v>136</v>
      </c>
      <c r="C1352" t="s">
        <v>16</v>
      </c>
      <c r="D1352" s="3">
        <v>44340</v>
      </c>
      <c r="E1352" s="1">
        <v>44340.499259259261</v>
      </c>
      <c r="F1352" t="s">
        <v>17</v>
      </c>
      <c r="G1352" t="s">
        <v>71</v>
      </c>
      <c r="H1352" s="1">
        <v>44340.375</v>
      </c>
      <c r="I1352" s="1">
        <v>44340.489583333336</v>
      </c>
      <c r="J1352" s="4">
        <f t="shared" si="21"/>
        <v>0.11458333333575865</v>
      </c>
      <c r="K1352" t="s">
        <v>211</v>
      </c>
      <c r="M1352">
        <v>2</v>
      </c>
      <c r="N1352" s="6">
        <v>0</v>
      </c>
      <c r="Q1352" s="2" t="s">
        <v>19</v>
      </c>
    </row>
    <row r="1353" spans="1:17" ht="68" x14ac:dyDescent="0.2">
      <c r="A1353" t="s">
        <v>189</v>
      </c>
      <c r="B1353" t="s">
        <v>136</v>
      </c>
      <c r="C1353" t="s">
        <v>16</v>
      </c>
      <c r="D1353" s="3">
        <v>44340</v>
      </c>
      <c r="E1353" s="1">
        <v>44340.51090277778</v>
      </c>
      <c r="F1353" t="s">
        <v>17</v>
      </c>
      <c r="G1353" t="s">
        <v>71</v>
      </c>
      <c r="H1353" s="1">
        <v>44340.375</v>
      </c>
      <c r="I1353" s="1">
        <v>44340.489583333336</v>
      </c>
      <c r="J1353" s="4">
        <f t="shared" si="21"/>
        <v>0.11458333333575865</v>
      </c>
      <c r="K1353" t="s">
        <v>211</v>
      </c>
      <c r="M1353">
        <v>1</v>
      </c>
      <c r="N1353" s="6">
        <v>0</v>
      </c>
      <c r="Q1353" s="2" t="s">
        <v>19</v>
      </c>
    </row>
    <row r="1354" spans="1:17" ht="68" x14ac:dyDescent="0.2">
      <c r="A1354" t="s">
        <v>189</v>
      </c>
      <c r="B1354" t="s">
        <v>136</v>
      </c>
      <c r="C1354" t="s">
        <v>16</v>
      </c>
      <c r="D1354" s="3">
        <v>44340</v>
      </c>
      <c r="E1354" s="1">
        <v>44340.660532407404</v>
      </c>
      <c r="F1354" t="s">
        <v>17</v>
      </c>
      <c r="G1354" t="s">
        <v>56</v>
      </c>
      <c r="H1354" s="1">
        <v>44340.53125</v>
      </c>
      <c r="I1354" s="1">
        <v>44340.666666666664</v>
      </c>
      <c r="J1354" s="4">
        <f t="shared" si="21"/>
        <v>0.13541666666424135</v>
      </c>
      <c r="K1354" t="s">
        <v>200</v>
      </c>
      <c r="M1354">
        <v>0</v>
      </c>
      <c r="N1354" s="6">
        <v>0</v>
      </c>
      <c r="Q1354" s="2" t="s">
        <v>19</v>
      </c>
    </row>
    <row r="1355" spans="1:17" ht="68" x14ac:dyDescent="0.2">
      <c r="A1355" t="s">
        <v>189</v>
      </c>
      <c r="B1355" t="s">
        <v>136</v>
      </c>
      <c r="C1355" t="s">
        <v>16</v>
      </c>
      <c r="D1355" s="3">
        <v>44341</v>
      </c>
      <c r="E1355" s="1">
        <v>44341.488078703704</v>
      </c>
      <c r="F1355" t="s">
        <v>17</v>
      </c>
      <c r="G1355" t="s">
        <v>55</v>
      </c>
      <c r="H1355" s="1">
        <v>44341.383333333331</v>
      </c>
      <c r="I1355" s="1">
        <v>44341.404166666667</v>
      </c>
      <c r="J1355" s="4">
        <f t="shared" si="21"/>
        <v>2.0833333335758653E-2</v>
      </c>
      <c r="K1355" t="s">
        <v>200</v>
      </c>
      <c r="M1355">
        <v>0</v>
      </c>
      <c r="N1355" s="5" t="s">
        <v>144</v>
      </c>
      <c r="Q1355" s="2" t="s">
        <v>19</v>
      </c>
    </row>
    <row r="1356" spans="1:17" ht="68" x14ac:dyDescent="0.2">
      <c r="A1356" t="s">
        <v>189</v>
      </c>
      <c r="B1356" t="s">
        <v>136</v>
      </c>
      <c r="C1356" t="s">
        <v>16</v>
      </c>
      <c r="D1356" s="3">
        <v>44341</v>
      </c>
      <c r="E1356" s="1">
        <v>44341.651724537034</v>
      </c>
      <c r="F1356" t="s">
        <v>17</v>
      </c>
      <c r="G1356" t="s">
        <v>68</v>
      </c>
      <c r="H1356" s="1">
        <v>44341.541666666664</v>
      </c>
      <c r="I1356" s="1">
        <v>44341.666666666664</v>
      </c>
      <c r="J1356" s="4">
        <f t="shared" si="21"/>
        <v>0.125</v>
      </c>
      <c r="K1356" t="s">
        <v>192</v>
      </c>
      <c r="M1356">
        <v>1</v>
      </c>
      <c r="N1356" s="6">
        <v>0</v>
      </c>
      <c r="Q1356" s="2" t="s">
        <v>19</v>
      </c>
    </row>
    <row r="1357" spans="1:17" ht="68" x14ac:dyDescent="0.2">
      <c r="A1357" t="s">
        <v>189</v>
      </c>
      <c r="B1357" t="s">
        <v>136</v>
      </c>
      <c r="C1357" t="s">
        <v>16</v>
      </c>
      <c r="D1357" s="3">
        <v>44342</v>
      </c>
      <c r="E1357" s="1">
        <v>44342.493958333333</v>
      </c>
      <c r="F1357" t="s">
        <v>17</v>
      </c>
      <c r="G1357" t="s">
        <v>72</v>
      </c>
      <c r="H1357" s="1">
        <v>44342.375</v>
      </c>
      <c r="I1357" s="1">
        <v>44342.5</v>
      </c>
      <c r="J1357" s="4">
        <f t="shared" si="21"/>
        <v>0.125</v>
      </c>
      <c r="K1357" t="s">
        <v>212</v>
      </c>
      <c r="M1357">
        <v>0</v>
      </c>
      <c r="N1357" s="6">
        <v>0</v>
      </c>
      <c r="Q1357" s="2" t="s">
        <v>19</v>
      </c>
    </row>
    <row r="1358" spans="1:17" ht="68" x14ac:dyDescent="0.2">
      <c r="A1358" t="s">
        <v>189</v>
      </c>
      <c r="B1358" t="s">
        <v>136</v>
      </c>
      <c r="C1358" t="s">
        <v>16</v>
      </c>
      <c r="D1358" s="3">
        <v>44342</v>
      </c>
      <c r="E1358" s="1">
        <v>44342.660717592589</v>
      </c>
      <c r="F1358" t="s">
        <v>17</v>
      </c>
      <c r="G1358" t="s">
        <v>35</v>
      </c>
      <c r="H1358" s="1">
        <v>44342.53125</v>
      </c>
      <c r="I1358" s="1">
        <v>44342.666666666664</v>
      </c>
      <c r="J1358" s="4">
        <f t="shared" si="21"/>
        <v>0.13541666666424135</v>
      </c>
      <c r="K1358" t="s">
        <v>200</v>
      </c>
      <c r="M1358">
        <v>0</v>
      </c>
      <c r="N1358" s="6">
        <v>0</v>
      </c>
      <c r="Q1358" s="2" t="s">
        <v>19</v>
      </c>
    </row>
    <row r="1359" spans="1:17" ht="68" x14ac:dyDescent="0.2">
      <c r="A1359" t="s">
        <v>189</v>
      </c>
      <c r="B1359" t="s">
        <v>136</v>
      </c>
      <c r="C1359" t="s">
        <v>16</v>
      </c>
      <c r="D1359" s="3">
        <v>44343</v>
      </c>
      <c r="E1359" s="1">
        <v>44343.486643518518</v>
      </c>
      <c r="F1359" t="s">
        <v>17</v>
      </c>
      <c r="G1359" t="s">
        <v>73</v>
      </c>
      <c r="H1359" s="1">
        <v>44343.375</v>
      </c>
      <c r="I1359" s="1">
        <v>44343.489583333336</v>
      </c>
      <c r="J1359" s="4">
        <f t="shared" si="21"/>
        <v>0.11458333333575865</v>
      </c>
      <c r="K1359" t="s">
        <v>196</v>
      </c>
      <c r="M1359">
        <v>0</v>
      </c>
      <c r="N1359" s="6">
        <v>0</v>
      </c>
      <c r="Q1359" s="2" t="s">
        <v>19</v>
      </c>
    </row>
    <row r="1360" spans="1:17" ht="68" x14ac:dyDescent="0.2">
      <c r="A1360" t="s">
        <v>189</v>
      </c>
      <c r="B1360" t="s">
        <v>136</v>
      </c>
      <c r="C1360" t="s">
        <v>16</v>
      </c>
      <c r="D1360" s="3">
        <v>44344</v>
      </c>
      <c r="E1360" s="1">
        <v>44344.488391203704</v>
      </c>
      <c r="F1360" t="s">
        <v>17</v>
      </c>
      <c r="G1360" t="s">
        <v>53</v>
      </c>
      <c r="H1360" s="1">
        <v>44344.375</v>
      </c>
      <c r="I1360" s="1">
        <v>44344.489583333336</v>
      </c>
      <c r="J1360" s="4">
        <f t="shared" si="21"/>
        <v>0.11458333333575865</v>
      </c>
      <c r="K1360" t="s">
        <v>199</v>
      </c>
      <c r="M1360">
        <v>0</v>
      </c>
      <c r="N1360" s="6">
        <v>0</v>
      </c>
      <c r="Q1360" s="2" t="s">
        <v>19</v>
      </c>
    </row>
    <row r="1361" spans="1:17" ht="68" x14ac:dyDescent="0.2">
      <c r="A1361" t="s">
        <v>189</v>
      </c>
      <c r="B1361" t="s">
        <v>136</v>
      </c>
      <c r="C1361" t="s">
        <v>16</v>
      </c>
      <c r="D1361" s="3">
        <v>44344</v>
      </c>
      <c r="E1361" s="1">
        <v>44344.659560185188</v>
      </c>
      <c r="F1361" t="s">
        <v>17</v>
      </c>
      <c r="G1361" t="s">
        <v>106</v>
      </c>
      <c r="H1361" s="1">
        <v>44344.552083333336</v>
      </c>
      <c r="I1361" s="1">
        <v>44344.666666666664</v>
      </c>
      <c r="J1361" s="4">
        <f t="shared" si="21"/>
        <v>0.11458333332848269</v>
      </c>
      <c r="K1361" t="s">
        <v>221</v>
      </c>
      <c r="M1361">
        <v>0</v>
      </c>
      <c r="N1361" s="6">
        <v>0</v>
      </c>
      <c r="Q1361" s="2" t="s">
        <v>19</v>
      </c>
    </row>
    <row r="1362" spans="1:17" ht="68" x14ac:dyDescent="0.2">
      <c r="A1362" t="s">
        <v>189</v>
      </c>
      <c r="B1362" t="s">
        <v>136</v>
      </c>
      <c r="C1362" t="s">
        <v>16</v>
      </c>
      <c r="D1362" s="3">
        <v>44348</v>
      </c>
      <c r="E1362" s="1">
        <v>44348.490914351853</v>
      </c>
      <c r="F1362" t="s">
        <v>17</v>
      </c>
      <c r="G1362" t="s">
        <v>53</v>
      </c>
      <c r="H1362" s="1">
        <v>44348.378472222219</v>
      </c>
      <c r="I1362" s="1">
        <v>44348.490972222222</v>
      </c>
      <c r="J1362" s="4">
        <f t="shared" si="21"/>
        <v>0.11250000000291038</v>
      </c>
      <c r="K1362" t="s">
        <v>213</v>
      </c>
      <c r="M1362">
        <v>0</v>
      </c>
      <c r="N1362" s="5" t="s">
        <v>144</v>
      </c>
      <c r="Q1362" s="2" t="s">
        <v>19</v>
      </c>
    </row>
    <row r="1363" spans="1:17" ht="68" x14ac:dyDescent="0.2">
      <c r="A1363" t="s">
        <v>189</v>
      </c>
      <c r="B1363" t="s">
        <v>136</v>
      </c>
      <c r="C1363" t="s">
        <v>16</v>
      </c>
      <c r="D1363" s="3">
        <v>44348</v>
      </c>
      <c r="E1363" s="1">
        <v>44348.546053240738</v>
      </c>
      <c r="F1363" t="s">
        <v>17</v>
      </c>
      <c r="G1363" t="s">
        <v>74</v>
      </c>
      <c r="H1363" s="1">
        <v>44348.541666666664</v>
      </c>
      <c r="I1363" s="1">
        <v>44348.645833333336</v>
      </c>
      <c r="J1363" s="4">
        <f t="shared" si="21"/>
        <v>0.10416666667151731</v>
      </c>
      <c r="K1363" t="s">
        <v>192</v>
      </c>
      <c r="M1363">
        <v>1</v>
      </c>
      <c r="N1363" s="6">
        <v>0</v>
      </c>
      <c r="Q1363" s="2" t="s">
        <v>19</v>
      </c>
    </row>
    <row r="1364" spans="1:17" ht="68" x14ac:dyDescent="0.2">
      <c r="A1364" t="s">
        <v>189</v>
      </c>
      <c r="B1364" t="s">
        <v>136</v>
      </c>
      <c r="C1364" t="s">
        <v>16</v>
      </c>
      <c r="D1364" s="3">
        <v>44348</v>
      </c>
      <c r="E1364" s="1">
        <v>44348.667569444442</v>
      </c>
      <c r="F1364" t="s">
        <v>17</v>
      </c>
      <c r="G1364" t="s">
        <v>75</v>
      </c>
      <c r="H1364" s="1">
        <v>44348.645833333336</v>
      </c>
      <c r="I1364" s="1">
        <v>44348.666666666664</v>
      </c>
      <c r="J1364" s="4">
        <f t="shared" si="21"/>
        <v>2.0833333328482695E-2</v>
      </c>
      <c r="K1364" t="s">
        <v>214</v>
      </c>
      <c r="M1364">
        <v>0</v>
      </c>
      <c r="N1364" s="6">
        <v>0</v>
      </c>
      <c r="Q1364" s="2" t="s">
        <v>19</v>
      </c>
    </row>
    <row r="1365" spans="1:17" ht="68" x14ac:dyDescent="0.2">
      <c r="A1365" t="s">
        <v>189</v>
      </c>
      <c r="B1365" t="s">
        <v>136</v>
      </c>
      <c r="C1365" t="s">
        <v>16</v>
      </c>
      <c r="D1365" s="3">
        <v>44349</v>
      </c>
      <c r="E1365" s="1">
        <v>44349.485000000001</v>
      </c>
      <c r="F1365" t="s">
        <v>17</v>
      </c>
      <c r="G1365" t="s">
        <v>76</v>
      </c>
      <c r="H1365" s="1">
        <v>44349.376388888886</v>
      </c>
      <c r="I1365" s="1">
        <v>44349.489583333336</v>
      </c>
      <c r="J1365" s="4">
        <f t="shared" si="21"/>
        <v>0.11319444444961846</v>
      </c>
      <c r="K1365" t="s">
        <v>197</v>
      </c>
      <c r="M1365">
        <v>0</v>
      </c>
      <c r="N1365" s="6">
        <v>0</v>
      </c>
      <c r="Q1365" s="2" t="s">
        <v>19</v>
      </c>
    </row>
    <row r="1366" spans="1:17" ht="68" x14ac:dyDescent="0.2">
      <c r="A1366" t="s">
        <v>189</v>
      </c>
      <c r="B1366" t="s">
        <v>136</v>
      </c>
      <c r="C1366" t="s">
        <v>16</v>
      </c>
      <c r="D1366" s="3">
        <v>44349</v>
      </c>
      <c r="E1366" s="1">
        <v>44349.668877314813</v>
      </c>
      <c r="F1366" t="s">
        <v>17</v>
      </c>
      <c r="G1366" t="s">
        <v>37</v>
      </c>
      <c r="H1366" s="1">
        <v>44349.53125</v>
      </c>
      <c r="I1366" s="1">
        <v>44349.645833333336</v>
      </c>
      <c r="J1366" s="4">
        <f t="shared" si="21"/>
        <v>0.11458333333575865</v>
      </c>
      <c r="K1366" t="s">
        <v>192</v>
      </c>
      <c r="M1366">
        <v>0</v>
      </c>
      <c r="N1366" s="6">
        <v>0</v>
      </c>
      <c r="Q1366" s="2" t="s">
        <v>19</v>
      </c>
    </row>
    <row r="1367" spans="1:17" ht="68" x14ac:dyDescent="0.2">
      <c r="A1367" t="s">
        <v>189</v>
      </c>
      <c r="B1367" t="s">
        <v>136</v>
      </c>
      <c r="C1367" t="s">
        <v>16</v>
      </c>
      <c r="D1367" s="3">
        <v>44350</v>
      </c>
      <c r="E1367" s="1">
        <v>44350.470104166663</v>
      </c>
      <c r="F1367" t="s">
        <v>17</v>
      </c>
      <c r="G1367" t="s">
        <v>77</v>
      </c>
      <c r="H1367" s="1">
        <v>44350.333333333336</v>
      </c>
      <c r="I1367" s="1">
        <v>44350.479166666664</v>
      </c>
      <c r="J1367" s="4">
        <f t="shared" si="21"/>
        <v>0.14583333332848269</v>
      </c>
      <c r="K1367" t="s">
        <v>191</v>
      </c>
      <c r="M1367">
        <v>0</v>
      </c>
      <c r="N1367" s="6">
        <v>0</v>
      </c>
      <c r="Q1367" s="2" t="s">
        <v>19</v>
      </c>
    </row>
    <row r="1368" spans="1:17" ht="68" x14ac:dyDescent="0.2">
      <c r="A1368" t="s">
        <v>189</v>
      </c>
      <c r="B1368" t="s">
        <v>136</v>
      </c>
      <c r="C1368" t="s">
        <v>16</v>
      </c>
      <c r="D1368" s="3">
        <v>44351</v>
      </c>
      <c r="E1368" s="1">
        <v>44351.489016203705</v>
      </c>
      <c r="F1368" t="s">
        <v>17</v>
      </c>
      <c r="G1368" t="s">
        <v>63</v>
      </c>
      <c r="H1368" s="1">
        <v>44351.375</v>
      </c>
      <c r="I1368" s="1">
        <v>44351.489583333336</v>
      </c>
      <c r="J1368" s="4">
        <f t="shared" si="21"/>
        <v>0.11458333333575865</v>
      </c>
      <c r="K1368" t="s">
        <v>199</v>
      </c>
      <c r="M1368">
        <v>0</v>
      </c>
      <c r="N1368" s="6">
        <v>0</v>
      </c>
      <c r="Q1368" s="2" t="s">
        <v>19</v>
      </c>
    </row>
    <row r="1369" spans="1:17" ht="68" x14ac:dyDescent="0.2">
      <c r="A1369" t="s">
        <v>189</v>
      </c>
      <c r="B1369" t="s">
        <v>136</v>
      </c>
      <c r="C1369" t="s">
        <v>16</v>
      </c>
      <c r="D1369" s="3">
        <v>44351</v>
      </c>
      <c r="E1369" s="1">
        <v>44351.658472222225</v>
      </c>
      <c r="F1369" t="s">
        <v>17</v>
      </c>
      <c r="G1369" t="s">
        <v>45</v>
      </c>
      <c r="H1369" s="1">
        <v>44351.53125</v>
      </c>
      <c r="I1369" s="1">
        <v>44351.666666666664</v>
      </c>
      <c r="J1369" s="4">
        <f t="shared" si="21"/>
        <v>0.13541666666424135</v>
      </c>
      <c r="K1369" t="s">
        <v>195</v>
      </c>
      <c r="M1369">
        <v>1</v>
      </c>
      <c r="N1369" s="6">
        <v>0</v>
      </c>
      <c r="Q1369" s="2" t="s">
        <v>19</v>
      </c>
    </row>
    <row r="1370" spans="1:17" ht="68" x14ac:dyDescent="0.2">
      <c r="A1370" t="s">
        <v>189</v>
      </c>
      <c r="B1370" t="s">
        <v>136</v>
      </c>
      <c r="C1370" t="s">
        <v>16</v>
      </c>
      <c r="D1370" s="3">
        <v>44354</v>
      </c>
      <c r="E1370" s="1">
        <v>44354.489641203705</v>
      </c>
      <c r="F1370" t="s">
        <v>17</v>
      </c>
      <c r="G1370" t="s">
        <v>78</v>
      </c>
      <c r="H1370" s="1">
        <v>44354.375</v>
      </c>
      <c r="I1370" s="1">
        <v>44354.489583333336</v>
      </c>
      <c r="J1370" s="4">
        <f t="shared" si="21"/>
        <v>0.11458333333575865</v>
      </c>
      <c r="K1370" t="s">
        <v>215</v>
      </c>
      <c r="M1370">
        <v>0</v>
      </c>
      <c r="N1370" s="6">
        <v>0</v>
      </c>
      <c r="Q1370" s="2" t="s">
        <v>19</v>
      </c>
    </row>
    <row r="1371" spans="1:17" ht="68" x14ac:dyDescent="0.2">
      <c r="A1371" t="s">
        <v>189</v>
      </c>
      <c r="B1371" t="s">
        <v>136</v>
      </c>
      <c r="C1371" t="s">
        <v>16</v>
      </c>
      <c r="D1371" s="3">
        <v>44354</v>
      </c>
      <c r="E1371" s="1">
        <v>44354.643287037034</v>
      </c>
      <c r="F1371" t="s">
        <v>17</v>
      </c>
      <c r="G1371" t="s">
        <v>79</v>
      </c>
      <c r="H1371" s="1">
        <v>44354.530555555553</v>
      </c>
      <c r="I1371" s="1">
        <v>44354.645833333336</v>
      </c>
      <c r="J1371" s="4">
        <f t="shared" si="21"/>
        <v>0.11527777778246673</v>
      </c>
      <c r="K1371" t="s">
        <v>200</v>
      </c>
      <c r="M1371">
        <v>0</v>
      </c>
      <c r="N1371" s="6">
        <v>0</v>
      </c>
      <c r="Q1371" s="2" t="s">
        <v>19</v>
      </c>
    </row>
    <row r="1372" spans="1:17" ht="68" x14ac:dyDescent="0.2">
      <c r="A1372" t="s">
        <v>189</v>
      </c>
      <c r="B1372" t="s">
        <v>136</v>
      </c>
      <c r="C1372" t="s">
        <v>16</v>
      </c>
      <c r="D1372" s="3">
        <v>44355</v>
      </c>
      <c r="E1372" s="1">
        <v>44355.487881944442</v>
      </c>
      <c r="F1372" t="s">
        <v>17</v>
      </c>
      <c r="G1372" t="s">
        <v>80</v>
      </c>
      <c r="H1372" s="1">
        <v>44355.375</v>
      </c>
      <c r="I1372" s="1">
        <v>44355.489583333336</v>
      </c>
      <c r="J1372" s="4">
        <f t="shared" si="21"/>
        <v>0.11458333333575865</v>
      </c>
      <c r="K1372" t="s">
        <v>216</v>
      </c>
      <c r="M1372">
        <v>0</v>
      </c>
      <c r="N1372" s="6">
        <v>0</v>
      </c>
      <c r="Q1372" s="2" t="s">
        <v>19</v>
      </c>
    </row>
    <row r="1373" spans="1:17" ht="68" x14ac:dyDescent="0.2">
      <c r="A1373" t="s">
        <v>189</v>
      </c>
      <c r="B1373" t="s">
        <v>136</v>
      </c>
      <c r="C1373" t="s">
        <v>16</v>
      </c>
      <c r="D1373" s="3">
        <v>44355</v>
      </c>
      <c r="E1373" s="1">
        <v>44355.672199074077</v>
      </c>
      <c r="F1373" t="s">
        <v>17</v>
      </c>
      <c r="G1373" t="s">
        <v>48</v>
      </c>
      <c r="H1373" s="1">
        <v>44355.541666666664</v>
      </c>
      <c r="I1373" s="1">
        <v>44355.666666666664</v>
      </c>
      <c r="J1373" s="4">
        <f t="shared" si="21"/>
        <v>0.125</v>
      </c>
      <c r="K1373" t="s">
        <v>192</v>
      </c>
      <c r="M1373">
        <v>0</v>
      </c>
      <c r="N1373" s="6">
        <v>0</v>
      </c>
      <c r="Q1373" s="2" t="s">
        <v>19</v>
      </c>
    </row>
    <row r="1374" spans="1:17" ht="68" x14ac:dyDescent="0.2">
      <c r="A1374" t="s">
        <v>189</v>
      </c>
      <c r="B1374" t="s">
        <v>136</v>
      </c>
      <c r="C1374" t="s">
        <v>16</v>
      </c>
      <c r="D1374" s="3">
        <v>44356</v>
      </c>
      <c r="E1374" s="1">
        <v>44356.484965277778</v>
      </c>
      <c r="F1374" t="s">
        <v>17</v>
      </c>
      <c r="G1374" t="s">
        <v>78</v>
      </c>
      <c r="H1374" s="1">
        <v>44356.375</v>
      </c>
      <c r="I1374" s="1">
        <v>44356.489583333336</v>
      </c>
      <c r="J1374" s="4">
        <f t="shared" si="21"/>
        <v>0.11458333333575865</v>
      </c>
      <c r="K1374" t="s">
        <v>197</v>
      </c>
      <c r="M1374">
        <v>0</v>
      </c>
      <c r="N1374" s="6">
        <v>0</v>
      </c>
      <c r="Q1374" s="2" t="s">
        <v>19</v>
      </c>
    </row>
    <row r="1375" spans="1:17" ht="68" x14ac:dyDescent="0.2">
      <c r="A1375" t="s">
        <v>189</v>
      </c>
      <c r="B1375" t="s">
        <v>136</v>
      </c>
      <c r="C1375" t="s">
        <v>16</v>
      </c>
      <c r="D1375" s="3">
        <v>44356</v>
      </c>
      <c r="E1375" s="1">
        <v>44356.635451388887</v>
      </c>
      <c r="F1375" t="s">
        <v>17</v>
      </c>
      <c r="G1375" t="s">
        <v>58</v>
      </c>
      <c r="H1375" s="1">
        <v>44356.54791666667</v>
      </c>
      <c r="I1375" s="1">
        <v>44356.666666666664</v>
      </c>
      <c r="J1375" s="4">
        <f t="shared" si="21"/>
        <v>0.11874999999417923</v>
      </c>
      <c r="K1375" t="s">
        <v>200</v>
      </c>
      <c r="M1375">
        <v>1</v>
      </c>
      <c r="N1375" s="6">
        <v>0</v>
      </c>
      <c r="Q1375" s="2" t="s">
        <v>19</v>
      </c>
    </row>
    <row r="1376" spans="1:17" ht="68" x14ac:dyDescent="0.2">
      <c r="A1376" t="s">
        <v>189</v>
      </c>
      <c r="B1376" t="s">
        <v>136</v>
      </c>
      <c r="C1376" t="s">
        <v>16</v>
      </c>
      <c r="D1376" s="3">
        <v>44358</v>
      </c>
      <c r="E1376" s="1">
        <v>44358.489675925928</v>
      </c>
      <c r="F1376" t="s">
        <v>17</v>
      </c>
      <c r="G1376" t="s">
        <v>53</v>
      </c>
      <c r="H1376" s="1">
        <v>44358.375</v>
      </c>
      <c r="I1376" s="1">
        <v>44358.489583333336</v>
      </c>
      <c r="J1376" s="4">
        <f t="shared" si="21"/>
        <v>0.11458333333575865</v>
      </c>
      <c r="K1376" t="s">
        <v>199</v>
      </c>
      <c r="M1376">
        <v>0</v>
      </c>
      <c r="N1376" s="6">
        <v>0</v>
      </c>
      <c r="Q1376" s="2" t="s">
        <v>19</v>
      </c>
    </row>
    <row r="1377" spans="1:17" ht="68" x14ac:dyDescent="0.2">
      <c r="A1377" t="s">
        <v>189</v>
      </c>
      <c r="B1377" t="s">
        <v>136</v>
      </c>
      <c r="C1377" t="s">
        <v>16</v>
      </c>
      <c r="D1377" s="3">
        <v>44358</v>
      </c>
      <c r="E1377" s="1">
        <v>44358.644097222219</v>
      </c>
      <c r="F1377" t="s">
        <v>17</v>
      </c>
      <c r="G1377" t="s">
        <v>82</v>
      </c>
      <c r="H1377" s="1">
        <v>44358.53125</v>
      </c>
      <c r="I1377" s="1">
        <v>44358.645833333336</v>
      </c>
      <c r="J1377" s="4">
        <f t="shared" si="21"/>
        <v>0.11458333333575865</v>
      </c>
      <c r="K1377" t="s">
        <v>200</v>
      </c>
      <c r="M1377">
        <v>0</v>
      </c>
      <c r="N1377" s="6">
        <v>0</v>
      </c>
      <c r="Q1377" s="2" t="s">
        <v>19</v>
      </c>
    </row>
    <row r="1378" spans="1:17" ht="68" x14ac:dyDescent="0.2">
      <c r="A1378" t="s">
        <v>189</v>
      </c>
      <c r="B1378" t="s">
        <v>136</v>
      </c>
      <c r="C1378" t="s">
        <v>16</v>
      </c>
      <c r="D1378" s="3">
        <v>44361</v>
      </c>
      <c r="E1378" s="1">
        <v>44361.487395833334</v>
      </c>
      <c r="F1378" t="s">
        <v>17</v>
      </c>
      <c r="G1378" t="s">
        <v>46</v>
      </c>
      <c r="H1378" s="1">
        <v>44361.375</v>
      </c>
      <c r="I1378" s="1">
        <v>44361.489583333336</v>
      </c>
      <c r="J1378" s="4">
        <f t="shared" si="21"/>
        <v>0.11458333333575865</v>
      </c>
      <c r="K1378" t="s">
        <v>199</v>
      </c>
      <c r="M1378">
        <v>0</v>
      </c>
      <c r="N1378" s="6">
        <v>0</v>
      </c>
      <c r="Q1378" s="2" t="s">
        <v>19</v>
      </c>
    </row>
    <row r="1379" spans="1:17" ht="68" x14ac:dyDescent="0.2">
      <c r="A1379" t="s">
        <v>189</v>
      </c>
      <c r="B1379" t="s">
        <v>136</v>
      </c>
      <c r="C1379" t="s">
        <v>16</v>
      </c>
      <c r="D1379" s="3">
        <v>44361</v>
      </c>
      <c r="E1379" s="1">
        <v>44361.630613425928</v>
      </c>
      <c r="F1379" t="s">
        <v>17</v>
      </c>
      <c r="G1379" t="s">
        <v>35</v>
      </c>
      <c r="H1379" s="1">
        <v>44361.537499999999</v>
      </c>
      <c r="I1379" s="1">
        <v>44361.645833333336</v>
      </c>
      <c r="J1379" s="4">
        <f t="shared" si="21"/>
        <v>0.10833333333721384</v>
      </c>
      <c r="K1379" t="s">
        <v>200</v>
      </c>
      <c r="M1379">
        <v>1</v>
      </c>
      <c r="N1379" s="6">
        <v>0</v>
      </c>
      <c r="Q1379" s="2" t="s">
        <v>19</v>
      </c>
    </row>
    <row r="1380" spans="1:17" ht="68" x14ac:dyDescent="0.2">
      <c r="A1380" t="s">
        <v>189</v>
      </c>
      <c r="B1380" t="s">
        <v>136</v>
      </c>
      <c r="C1380" t="s">
        <v>16</v>
      </c>
      <c r="D1380" s="3">
        <v>44361</v>
      </c>
      <c r="E1380" s="1">
        <v>44361.643958333334</v>
      </c>
      <c r="F1380" t="s">
        <v>17</v>
      </c>
      <c r="G1380" t="s">
        <v>35</v>
      </c>
      <c r="H1380" s="1">
        <v>44361.537499999999</v>
      </c>
      <c r="I1380" s="1">
        <v>44361.645833333336</v>
      </c>
      <c r="J1380" s="4">
        <f t="shared" si="21"/>
        <v>0.10833333333721384</v>
      </c>
      <c r="K1380" t="s">
        <v>200</v>
      </c>
      <c r="M1380">
        <v>0</v>
      </c>
      <c r="N1380" s="6">
        <v>0</v>
      </c>
      <c r="Q1380" s="2" t="s">
        <v>19</v>
      </c>
    </row>
    <row r="1381" spans="1:17" ht="68" x14ac:dyDescent="0.2">
      <c r="A1381" t="s">
        <v>189</v>
      </c>
      <c r="B1381" t="s">
        <v>136</v>
      </c>
      <c r="C1381" t="s">
        <v>16</v>
      </c>
      <c r="D1381" s="3">
        <v>44363</v>
      </c>
      <c r="E1381" s="1">
        <v>44363.662754629629</v>
      </c>
      <c r="F1381" t="s">
        <v>17</v>
      </c>
      <c r="G1381" t="s">
        <v>79</v>
      </c>
      <c r="H1381" s="1">
        <v>44363.53125</v>
      </c>
      <c r="I1381" s="1">
        <v>44363.666666666664</v>
      </c>
      <c r="J1381" s="4">
        <f t="shared" si="21"/>
        <v>0.13541666666424135</v>
      </c>
      <c r="K1381" t="s">
        <v>200</v>
      </c>
      <c r="M1381">
        <v>1</v>
      </c>
      <c r="N1381" s="6">
        <v>0</v>
      </c>
      <c r="Q1381" s="2" t="s">
        <v>19</v>
      </c>
    </row>
    <row r="1382" spans="1:17" ht="68" x14ac:dyDescent="0.2">
      <c r="A1382" t="s">
        <v>189</v>
      </c>
      <c r="B1382" t="s">
        <v>136</v>
      </c>
      <c r="C1382" t="s">
        <v>16</v>
      </c>
      <c r="D1382" s="3">
        <v>44364</v>
      </c>
      <c r="E1382" s="1">
        <v>44364.491840277777</v>
      </c>
      <c r="F1382" t="s">
        <v>17</v>
      </c>
      <c r="G1382" t="s">
        <v>77</v>
      </c>
      <c r="H1382" s="1">
        <v>44364.333333333336</v>
      </c>
      <c r="I1382" s="1">
        <v>44364.479166666664</v>
      </c>
      <c r="J1382" s="4">
        <f t="shared" si="21"/>
        <v>0.14583333332848269</v>
      </c>
      <c r="K1382" t="s">
        <v>217</v>
      </c>
      <c r="M1382">
        <v>0</v>
      </c>
      <c r="N1382" s="6">
        <v>0</v>
      </c>
      <c r="Q1382" s="2" t="s">
        <v>19</v>
      </c>
    </row>
    <row r="1383" spans="1:17" ht="68" x14ac:dyDescent="0.2">
      <c r="A1383" t="s">
        <v>189</v>
      </c>
      <c r="B1383" t="s">
        <v>136</v>
      </c>
      <c r="C1383" t="s">
        <v>16</v>
      </c>
      <c r="D1383" s="3">
        <v>44365</v>
      </c>
      <c r="E1383" s="1">
        <v>44365.490706018521</v>
      </c>
      <c r="F1383" t="s">
        <v>17</v>
      </c>
      <c r="G1383" t="s">
        <v>64</v>
      </c>
      <c r="H1383" s="1">
        <v>44365.375</v>
      </c>
      <c r="I1383" s="1">
        <v>44365.489583333336</v>
      </c>
      <c r="J1383" s="4">
        <f t="shared" si="21"/>
        <v>0.11458333333575865</v>
      </c>
      <c r="K1383" t="s">
        <v>218</v>
      </c>
      <c r="M1383">
        <v>0</v>
      </c>
      <c r="N1383" s="6">
        <v>0</v>
      </c>
      <c r="Q1383" s="2" t="s">
        <v>19</v>
      </c>
    </row>
    <row r="1384" spans="1:17" ht="68" x14ac:dyDescent="0.2">
      <c r="A1384" t="s">
        <v>189</v>
      </c>
      <c r="B1384" t="s">
        <v>136</v>
      </c>
      <c r="C1384" t="s">
        <v>16</v>
      </c>
      <c r="D1384" s="3">
        <v>44365</v>
      </c>
      <c r="E1384" s="1">
        <v>44365.658634259256</v>
      </c>
      <c r="F1384" t="s">
        <v>17</v>
      </c>
      <c r="G1384" t="s">
        <v>83</v>
      </c>
      <c r="H1384" s="1">
        <v>44365.53125</v>
      </c>
      <c r="I1384" s="1">
        <v>44365.666666666664</v>
      </c>
      <c r="J1384" s="4">
        <f t="shared" si="21"/>
        <v>0.13541666666424135</v>
      </c>
      <c r="K1384" t="s">
        <v>217</v>
      </c>
      <c r="M1384">
        <v>0</v>
      </c>
      <c r="N1384" s="6">
        <v>0</v>
      </c>
      <c r="Q1384" s="2" t="s">
        <v>19</v>
      </c>
    </row>
    <row r="1385" spans="1:17" ht="68" x14ac:dyDescent="0.2">
      <c r="A1385" t="s">
        <v>189</v>
      </c>
      <c r="B1385" t="s">
        <v>136</v>
      </c>
      <c r="C1385" t="s">
        <v>16</v>
      </c>
      <c r="D1385" s="3">
        <v>44375</v>
      </c>
      <c r="E1385" s="1">
        <v>44375.669490740744</v>
      </c>
      <c r="F1385" t="s">
        <v>17</v>
      </c>
      <c r="G1385" t="s">
        <v>84</v>
      </c>
      <c r="H1385" s="1">
        <v>44375.539583333331</v>
      </c>
      <c r="I1385" s="1">
        <v>44375.669444444444</v>
      </c>
      <c r="J1385" s="4">
        <f t="shared" si="21"/>
        <v>0.12986111111240461</v>
      </c>
      <c r="K1385" t="s">
        <v>213</v>
      </c>
      <c r="M1385">
        <v>0</v>
      </c>
      <c r="N1385" s="5" t="s">
        <v>144</v>
      </c>
      <c r="Q1385" s="2" t="s">
        <v>19</v>
      </c>
    </row>
    <row r="1386" spans="1:17" ht="68" x14ac:dyDescent="0.2">
      <c r="A1386" t="s">
        <v>189</v>
      </c>
      <c r="B1386" t="s">
        <v>138</v>
      </c>
      <c r="C1386" t="s">
        <v>16</v>
      </c>
      <c r="D1386" s="3">
        <v>44207</v>
      </c>
      <c r="E1386" s="1">
        <v>44207.465856481482</v>
      </c>
      <c r="F1386" t="s">
        <v>17</v>
      </c>
      <c r="G1386" t="s">
        <v>18</v>
      </c>
      <c r="H1386" s="1">
        <v>44207.354166666664</v>
      </c>
      <c r="I1386" s="1">
        <v>44207.479166666664</v>
      </c>
      <c r="J1386" s="4">
        <f t="shared" si="21"/>
        <v>0.125</v>
      </c>
      <c r="K1386" t="s">
        <v>190</v>
      </c>
      <c r="M1386">
        <v>0</v>
      </c>
      <c r="N1386" s="5" t="s">
        <v>144</v>
      </c>
      <c r="Q1386" s="2" t="s">
        <v>19</v>
      </c>
    </row>
    <row r="1387" spans="1:17" ht="68" x14ac:dyDescent="0.2">
      <c r="A1387" t="s">
        <v>189</v>
      </c>
      <c r="B1387" t="s">
        <v>138</v>
      </c>
      <c r="C1387" t="s">
        <v>16</v>
      </c>
      <c r="D1387" s="3">
        <v>44236</v>
      </c>
      <c r="E1387" s="1">
        <v>44236.474826388891</v>
      </c>
      <c r="F1387" t="s">
        <v>17</v>
      </c>
      <c r="G1387" t="s">
        <v>20</v>
      </c>
      <c r="H1387" s="1">
        <v>44236.354166666664</v>
      </c>
      <c r="I1387" s="1">
        <v>44236.479166666664</v>
      </c>
      <c r="J1387" s="4">
        <f t="shared" si="21"/>
        <v>0.125</v>
      </c>
      <c r="K1387" t="s">
        <v>191</v>
      </c>
      <c r="M1387">
        <v>2</v>
      </c>
      <c r="N1387" s="6">
        <v>0</v>
      </c>
      <c r="Q1387" s="2" t="s">
        <v>19</v>
      </c>
    </row>
    <row r="1388" spans="1:17" ht="68" x14ac:dyDescent="0.2">
      <c r="A1388" t="s">
        <v>189</v>
      </c>
      <c r="B1388" t="s">
        <v>138</v>
      </c>
      <c r="C1388" t="s">
        <v>16</v>
      </c>
      <c r="D1388" s="3">
        <v>44236</v>
      </c>
      <c r="E1388" s="1">
        <v>44236.686759259261</v>
      </c>
      <c r="F1388" t="s">
        <v>17</v>
      </c>
      <c r="G1388" t="s">
        <v>21</v>
      </c>
      <c r="H1388" s="1">
        <v>44236.5625</v>
      </c>
      <c r="I1388" s="1">
        <v>44236.6875</v>
      </c>
      <c r="J1388" s="4">
        <f t="shared" si="21"/>
        <v>0.125</v>
      </c>
      <c r="K1388" t="s">
        <v>192</v>
      </c>
      <c r="M1388">
        <v>0</v>
      </c>
      <c r="N1388" s="6">
        <v>0</v>
      </c>
      <c r="Q1388" s="2" t="s">
        <v>19</v>
      </c>
    </row>
    <row r="1389" spans="1:17" ht="68" x14ac:dyDescent="0.2">
      <c r="A1389" t="s">
        <v>189</v>
      </c>
      <c r="B1389" t="s">
        <v>138</v>
      </c>
      <c r="C1389" t="s">
        <v>16</v>
      </c>
      <c r="D1389" s="3">
        <v>44237</v>
      </c>
      <c r="E1389" s="1">
        <v>44237.442986111113</v>
      </c>
      <c r="F1389" t="s">
        <v>17</v>
      </c>
      <c r="G1389" t="s">
        <v>20</v>
      </c>
      <c r="H1389" s="1">
        <v>44237.354166666664</v>
      </c>
      <c r="I1389" s="1">
        <v>44237.479166666664</v>
      </c>
      <c r="J1389" s="4">
        <f t="shared" si="21"/>
        <v>0.125</v>
      </c>
      <c r="K1389" t="s">
        <v>190</v>
      </c>
      <c r="M1389">
        <v>0</v>
      </c>
      <c r="N1389" s="5" t="s">
        <v>144</v>
      </c>
      <c r="Q1389" s="2" t="s">
        <v>19</v>
      </c>
    </row>
    <row r="1390" spans="1:17" ht="68" x14ac:dyDescent="0.2">
      <c r="A1390" t="s">
        <v>189</v>
      </c>
      <c r="B1390" t="s">
        <v>138</v>
      </c>
      <c r="C1390" t="s">
        <v>16</v>
      </c>
      <c r="D1390" s="3">
        <v>44238</v>
      </c>
      <c r="E1390" s="1">
        <v>44238.474317129629</v>
      </c>
      <c r="F1390" t="s">
        <v>17</v>
      </c>
      <c r="G1390" t="s">
        <v>22</v>
      </c>
      <c r="H1390" s="1">
        <v>44238.354166666664</v>
      </c>
      <c r="I1390" s="1">
        <v>44238.479166666664</v>
      </c>
      <c r="J1390" s="4">
        <f t="shared" si="21"/>
        <v>0.125</v>
      </c>
      <c r="K1390" t="s">
        <v>191</v>
      </c>
      <c r="M1390">
        <v>0</v>
      </c>
      <c r="N1390" s="6">
        <v>0</v>
      </c>
      <c r="Q1390" s="2" t="s">
        <v>19</v>
      </c>
    </row>
    <row r="1391" spans="1:17" ht="68" x14ac:dyDescent="0.2">
      <c r="A1391" t="s">
        <v>189</v>
      </c>
      <c r="B1391" t="s">
        <v>138</v>
      </c>
      <c r="C1391" t="s">
        <v>16</v>
      </c>
      <c r="D1391" s="3">
        <v>44238</v>
      </c>
      <c r="E1391" s="1">
        <v>44238.682696759257</v>
      </c>
      <c r="F1391" t="s">
        <v>17</v>
      </c>
      <c r="G1391" t="s">
        <v>23</v>
      </c>
      <c r="H1391" s="1">
        <v>44238.5625</v>
      </c>
      <c r="I1391" s="1">
        <v>44238.6875</v>
      </c>
      <c r="J1391" s="4">
        <f t="shared" si="21"/>
        <v>0.125</v>
      </c>
      <c r="K1391" t="s">
        <v>192</v>
      </c>
      <c r="M1391">
        <v>0</v>
      </c>
      <c r="N1391" s="6">
        <v>0</v>
      </c>
      <c r="Q1391" s="2" t="s">
        <v>19</v>
      </c>
    </row>
    <row r="1392" spans="1:17" ht="68" x14ac:dyDescent="0.2">
      <c r="A1392" t="s">
        <v>189</v>
      </c>
      <c r="B1392" t="s">
        <v>138</v>
      </c>
      <c r="C1392" t="s">
        <v>16</v>
      </c>
      <c r="D1392" s="3">
        <v>44239</v>
      </c>
      <c r="E1392" s="1">
        <v>44239.470717592594</v>
      </c>
      <c r="F1392" t="s">
        <v>17</v>
      </c>
      <c r="G1392" t="s">
        <v>24</v>
      </c>
      <c r="H1392" s="1">
        <v>44239.354166666664</v>
      </c>
      <c r="I1392" s="1">
        <v>44239.479166666664</v>
      </c>
      <c r="J1392" s="4">
        <f t="shared" si="21"/>
        <v>0.125</v>
      </c>
      <c r="K1392" t="s">
        <v>190</v>
      </c>
      <c r="M1392">
        <v>0</v>
      </c>
      <c r="N1392" s="5" t="s">
        <v>144</v>
      </c>
      <c r="Q1392" s="2" t="s">
        <v>19</v>
      </c>
    </row>
    <row r="1393" spans="1:17" ht="68" x14ac:dyDescent="0.2">
      <c r="A1393" t="s">
        <v>189</v>
      </c>
      <c r="B1393" t="s">
        <v>138</v>
      </c>
      <c r="C1393" t="s">
        <v>16</v>
      </c>
      <c r="D1393" s="3">
        <v>44242</v>
      </c>
      <c r="E1393" s="1">
        <v>44242.473599537036</v>
      </c>
      <c r="F1393" t="s">
        <v>17</v>
      </c>
      <c r="G1393" t="s">
        <v>20</v>
      </c>
      <c r="H1393" s="1">
        <v>44242.354166666664</v>
      </c>
      <c r="I1393" s="1">
        <v>44242.479166666664</v>
      </c>
      <c r="J1393" s="4">
        <f t="shared" si="21"/>
        <v>0.125</v>
      </c>
      <c r="K1393" t="s">
        <v>190</v>
      </c>
      <c r="M1393">
        <v>0</v>
      </c>
      <c r="N1393" s="5" t="s">
        <v>144</v>
      </c>
      <c r="Q1393" s="2" t="s">
        <v>19</v>
      </c>
    </row>
    <row r="1394" spans="1:17" ht="68" x14ac:dyDescent="0.2">
      <c r="A1394" t="s">
        <v>189</v>
      </c>
      <c r="B1394" t="s">
        <v>138</v>
      </c>
      <c r="C1394" t="s">
        <v>16</v>
      </c>
      <c r="D1394" s="3">
        <v>44243</v>
      </c>
      <c r="E1394" s="1">
        <v>44243.535104166665</v>
      </c>
      <c r="F1394" t="s">
        <v>17</v>
      </c>
      <c r="G1394" t="s">
        <v>20</v>
      </c>
      <c r="H1394" s="1">
        <v>44243.354166666664</v>
      </c>
      <c r="I1394" s="1">
        <v>44243.479166666664</v>
      </c>
      <c r="J1394" s="4">
        <f t="shared" si="21"/>
        <v>0.125</v>
      </c>
      <c r="K1394" t="s">
        <v>191</v>
      </c>
      <c r="M1394">
        <v>0</v>
      </c>
      <c r="N1394" s="6">
        <v>0</v>
      </c>
      <c r="Q1394" s="2" t="s">
        <v>19</v>
      </c>
    </row>
    <row r="1395" spans="1:17" ht="68" x14ac:dyDescent="0.2">
      <c r="A1395" t="s">
        <v>189</v>
      </c>
      <c r="B1395" t="s">
        <v>138</v>
      </c>
      <c r="C1395" t="s">
        <v>16</v>
      </c>
      <c r="D1395" s="3">
        <v>44243</v>
      </c>
      <c r="E1395" s="1">
        <v>44243.683692129627</v>
      </c>
      <c r="F1395" t="s">
        <v>17</v>
      </c>
      <c r="G1395" t="s">
        <v>25</v>
      </c>
      <c r="H1395" s="1">
        <v>44243.5625</v>
      </c>
      <c r="I1395" s="1">
        <v>44243.6875</v>
      </c>
      <c r="J1395" s="4">
        <f t="shared" si="21"/>
        <v>0.125</v>
      </c>
      <c r="K1395" t="s">
        <v>192</v>
      </c>
      <c r="M1395">
        <v>0</v>
      </c>
      <c r="N1395" s="6">
        <v>0</v>
      </c>
      <c r="Q1395" s="2" t="s">
        <v>19</v>
      </c>
    </row>
    <row r="1396" spans="1:17" ht="68" x14ac:dyDescent="0.2">
      <c r="A1396" t="s">
        <v>189</v>
      </c>
      <c r="B1396" t="s">
        <v>138</v>
      </c>
      <c r="C1396" t="s">
        <v>16</v>
      </c>
      <c r="D1396" s="3">
        <v>44244</v>
      </c>
      <c r="E1396" s="1">
        <v>44244.472048611111</v>
      </c>
      <c r="F1396" t="s">
        <v>17</v>
      </c>
      <c r="G1396" t="s">
        <v>26</v>
      </c>
      <c r="H1396" s="1">
        <v>44244.354166666664</v>
      </c>
      <c r="I1396" s="1">
        <v>44244.479166666664</v>
      </c>
      <c r="J1396" s="4">
        <f t="shared" si="21"/>
        <v>0.125</v>
      </c>
      <c r="K1396" t="s">
        <v>190</v>
      </c>
      <c r="M1396">
        <v>0</v>
      </c>
      <c r="N1396" s="5" t="s">
        <v>144</v>
      </c>
      <c r="Q1396" s="2" t="s">
        <v>19</v>
      </c>
    </row>
    <row r="1397" spans="1:17" ht="68" x14ac:dyDescent="0.2">
      <c r="A1397" t="s">
        <v>189</v>
      </c>
      <c r="B1397" t="s">
        <v>138</v>
      </c>
      <c r="C1397" t="s">
        <v>16</v>
      </c>
      <c r="D1397" s="3">
        <v>44245</v>
      </c>
      <c r="E1397" s="1">
        <v>44245.470543981479</v>
      </c>
      <c r="F1397" t="s">
        <v>17</v>
      </c>
      <c r="G1397" t="s">
        <v>27</v>
      </c>
      <c r="H1397" s="1">
        <v>44245.354166666664</v>
      </c>
      <c r="I1397" s="1">
        <v>44245.479166666664</v>
      </c>
      <c r="J1397" s="4">
        <f t="shared" si="21"/>
        <v>0.125</v>
      </c>
      <c r="K1397" t="s">
        <v>191</v>
      </c>
      <c r="M1397">
        <v>0</v>
      </c>
      <c r="N1397" s="6">
        <v>0</v>
      </c>
      <c r="Q1397" s="2" t="s">
        <v>19</v>
      </c>
    </row>
    <row r="1398" spans="1:17" ht="68" x14ac:dyDescent="0.2">
      <c r="A1398" t="s">
        <v>189</v>
      </c>
      <c r="B1398" t="s">
        <v>138</v>
      </c>
      <c r="C1398" t="s">
        <v>16</v>
      </c>
      <c r="D1398" s="3">
        <v>44245</v>
      </c>
      <c r="E1398" s="1">
        <v>44245.632523148146</v>
      </c>
      <c r="F1398" t="s">
        <v>17</v>
      </c>
      <c r="G1398" t="s">
        <v>28</v>
      </c>
      <c r="H1398" s="1">
        <v>44245.5625</v>
      </c>
      <c r="I1398" s="1">
        <v>44245.635416666664</v>
      </c>
      <c r="J1398" s="4">
        <f t="shared" si="21"/>
        <v>7.2916666664241347E-2</v>
      </c>
      <c r="K1398" t="s">
        <v>192</v>
      </c>
      <c r="M1398">
        <v>0</v>
      </c>
      <c r="N1398" s="6">
        <v>0</v>
      </c>
      <c r="Q1398" s="2" t="s">
        <v>19</v>
      </c>
    </row>
    <row r="1399" spans="1:17" ht="68" x14ac:dyDescent="0.2">
      <c r="A1399" t="s">
        <v>189</v>
      </c>
      <c r="B1399" t="s">
        <v>138</v>
      </c>
      <c r="C1399" t="s">
        <v>16</v>
      </c>
      <c r="D1399" s="3">
        <v>44246</v>
      </c>
      <c r="E1399" s="1">
        <v>44246.472743055558</v>
      </c>
      <c r="F1399" t="s">
        <v>17</v>
      </c>
      <c r="G1399" t="s">
        <v>24</v>
      </c>
      <c r="H1399" s="1">
        <v>44246.354166666664</v>
      </c>
      <c r="I1399" s="1">
        <v>44246.479166666664</v>
      </c>
      <c r="J1399" s="4">
        <f t="shared" si="21"/>
        <v>0.125</v>
      </c>
      <c r="K1399" t="s">
        <v>190</v>
      </c>
      <c r="M1399">
        <v>3</v>
      </c>
      <c r="N1399" s="6">
        <v>0</v>
      </c>
      <c r="Q1399" s="2" t="s">
        <v>19</v>
      </c>
    </row>
    <row r="1400" spans="1:17" ht="68" x14ac:dyDescent="0.2">
      <c r="A1400" t="s">
        <v>189</v>
      </c>
      <c r="B1400" t="s">
        <v>138</v>
      </c>
      <c r="C1400" t="s">
        <v>16</v>
      </c>
      <c r="D1400" s="3">
        <v>44249</v>
      </c>
      <c r="E1400" s="1">
        <v>44249.477384259262</v>
      </c>
      <c r="F1400" t="s">
        <v>17</v>
      </c>
      <c r="G1400" t="s">
        <v>29</v>
      </c>
      <c r="H1400" s="1">
        <v>44249.354166666664</v>
      </c>
      <c r="I1400" s="1">
        <v>44249.479166666664</v>
      </c>
      <c r="J1400" s="4">
        <f t="shared" si="21"/>
        <v>0.125</v>
      </c>
      <c r="K1400" t="s">
        <v>190</v>
      </c>
      <c r="M1400">
        <v>0</v>
      </c>
      <c r="N1400" s="5" t="s">
        <v>144</v>
      </c>
      <c r="Q1400" s="2" t="s">
        <v>19</v>
      </c>
    </row>
    <row r="1401" spans="1:17" ht="68" x14ac:dyDescent="0.2">
      <c r="A1401" t="s">
        <v>189</v>
      </c>
      <c r="B1401" t="s">
        <v>138</v>
      </c>
      <c r="C1401" t="s">
        <v>16</v>
      </c>
      <c r="D1401" s="3">
        <v>44250</v>
      </c>
      <c r="E1401" s="1">
        <v>44250.468831018516</v>
      </c>
      <c r="F1401" t="s">
        <v>17</v>
      </c>
      <c r="G1401" t="s">
        <v>20</v>
      </c>
      <c r="H1401" s="1">
        <v>44250.354166666664</v>
      </c>
      <c r="I1401" s="1">
        <v>44250.479166666664</v>
      </c>
      <c r="J1401" s="4">
        <f t="shared" si="21"/>
        <v>0.125</v>
      </c>
      <c r="K1401" t="s">
        <v>191</v>
      </c>
      <c r="M1401">
        <v>0</v>
      </c>
      <c r="N1401" s="6">
        <v>0</v>
      </c>
      <c r="Q1401" s="2" t="s">
        <v>19</v>
      </c>
    </row>
    <row r="1402" spans="1:17" ht="68" x14ac:dyDescent="0.2">
      <c r="A1402" t="s">
        <v>189</v>
      </c>
      <c r="B1402" t="s">
        <v>138</v>
      </c>
      <c r="C1402" t="s">
        <v>16</v>
      </c>
      <c r="D1402" s="3">
        <v>44250</v>
      </c>
      <c r="E1402" s="1">
        <v>44250.683472222219</v>
      </c>
      <c r="F1402" t="s">
        <v>17</v>
      </c>
      <c r="G1402" t="s">
        <v>30</v>
      </c>
      <c r="H1402" s="1">
        <v>44250.5625</v>
      </c>
      <c r="I1402" s="1">
        <v>44250.6875</v>
      </c>
      <c r="J1402" s="4">
        <f t="shared" si="21"/>
        <v>0.125</v>
      </c>
      <c r="K1402" t="s">
        <v>192</v>
      </c>
      <c r="M1402">
        <v>0</v>
      </c>
      <c r="N1402" s="6">
        <v>0</v>
      </c>
      <c r="Q1402" s="2" t="s">
        <v>19</v>
      </c>
    </row>
    <row r="1403" spans="1:17" ht="68" x14ac:dyDescent="0.2">
      <c r="A1403" t="s">
        <v>189</v>
      </c>
      <c r="B1403" t="s">
        <v>138</v>
      </c>
      <c r="C1403" t="s">
        <v>16</v>
      </c>
      <c r="D1403" s="3">
        <v>44251</v>
      </c>
      <c r="E1403" s="1">
        <v>44251.473703703705</v>
      </c>
      <c r="F1403" t="s">
        <v>17</v>
      </c>
      <c r="G1403" t="s">
        <v>31</v>
      </c>
      <c r="H1403" s="1">
        <v>44251.354166666664</v>
      </c>
      <c r="I1403" s="1">
        <v>44251.479166666664</v>
      </c>
      <c r="J1403" s="4">
        <f t="shared" si="21"/>
        <v>0.125</v>
      </c>
      <c r="K1403" t="s">
        <v>190</v>
      </c>
      <c r="M1403">
        <v>0</v>
      </c>
      <c r="N1403" s="5" t="s">
        <v>144</v>
      </c>
      <c r="Q1403" s="2" t="s">
        <v>19</v>
      </c>
    </row>
    <row r="1404" spans="1:17" ht="68" x14ac:dyDescent="0.2">
      <c r="A1404" t="s">
        <v>189</v>
      </c>
      <c r="B1404" t="s">
        <v>138</v>
      </c>
      <c r="C1404" t="s">
        <v>16</v>
      </c>
      <c r="D1404" s="3">
        <v>44252</v>
      </c>
      <c r="E1404" s="1">
        <v>44252.472025462965</v>
      </c>
      <c r="F1404" t="s">
        <v>17</v>
      </c>
      <c r="G1404" t="s">
        <v>27</v>
      </c>
      <c r="H1404" s="1">
        <v>44252.354166666664</v>
      </c>
      <c r="I1404" s="1">
        <v>44252.479166666664</v>
      </c>
      <c r="J1404" s="4">
        <f t="shared" si="21"/>
        <v>0.125</v>
      </c>
      <c r="K1404" t="s">
        <v>191</v>
      </c>
      <c r="M1404">
        <v>0</v>
      </c>
      <c r="N1404" s="6">
        <v>0</v>
      </c>
      <c r="Q1404" s="2" t="s">
        <v>19</v>
      </c>
    </row>
    <row r="1405" spans="1:17" ht="68" x14ac:dyDescent="0.2">
      <c r="A1405" t="s">
        <v>189</v>
      </c>
      <c r="B1405" t="s">
        <v>138</v>
      </c>
      <c r="C1405" t="s">
        <v>16</v>
      </c>
      <c r="D1405" s="3">
        <v>44252</v>
      </c>
      <c r="E1405" s="1">
        <v>44252.684699074074</v>
      </c>
      <c r="F1405" t="s">
        <v>17</v>
      </c>
      <c r="G1405" t="s">
        <v>23</v>
      </c>
      <c r="H1405" s="1">
        <v>44252.5625</v>
      </c>
      <c r="I1405" s="1">
        <v>44252.6875</v>
      </c>
      <c r="J1405" s="4">
        <f t="shared" si="21"/>
        <v>0.125</v>
      </c>
      <c r="K1405" t="s">
        <v>192</v>
      </c>
      <c r="M1405">
        <v>0</v>
      </c>
      <c r="N1405" s="6">
        <v>0</v>
      </c>
      <c r="Q1405" s="2" t="s">
        <v>19</v>
      </c>
    </row>
    <row r="1406" spans="1:17" ht="68" x14ac:dyDescent="0.2">
      <c r="A1406" t="s">
        <v>189</v>
      </c>
      <c r="B1406" t="s">
        <v>138</v>
      </c>
      <c r="C1406" t="s">
        <v>16</v>
      </c>
      <c r="D1406" s="3">
        <v>44253</v>
      </c>
      <c r="E1406" s="1">
        <v>44253.473449074074</v>
      </c>
      <c r="F1406" t="s">
        <v>17</v>
      </c>
      <c r="G1406" t="s">
        <v>24</v>
      </c>
      <c r="H1406" s="1">
        <v>44253.354166666664</v>
      </c>
      <c r="I1406" s="1">
        <v>44253.479166666664</v>
      </c>
      <c r="J1406" s="4">
        <f t="shared" si="21"/>
        <v>0.125</v>
      </c>
      <c r="K1406" t="s">
        <v>190</v>
      </c>
      <c r="M1406">
        <v>0</v>
      </c>
      <c r="N1406" s="5" t="s">
        <v>144</v>
      </c>
      <c r="Q1406" s="2" t="s">
        <v>19</v>
      </c>
    </row>
    <row r="1407" spans="1:17" ht="68" x14ac:dyDescent="0.2">
      <c r="A1407" t="s">
        <v>189</v>
      </c>
      <c r="B1407" t="s">
        <v>138</v>
      </c>
      <c r="C1407" t="s">
        <v>16</v>
      </c>
      <c r="D1407" s="3">
        <v>44256</v>
      </c>
      <c r="E1407" s="1">
        <v>44256.468773148146</v>
      </c>
      <c r="F1407" t="s">
        <v>17</v>
      </c>
      <c r="G1407" t="s">
        <v>26</v>
      </c>
      <c r="H1407" s="1">
        <v>44256.354166666664</v>
      </c>
      <c r="I1407" s="1">
        <v>44256.479166666664</v>
      </c>
      <c r="J1407" s="4">
        <f t="shared" si="21"/>
        <v>0.125</v>
      </c>
      <c r="K1407" t="s">
        <v>190</v>
      </c>
      <c r="M1407">
        <v>0</v>
      </c>
      <c r="N1407" s="5" t="s">
        <v>144</v>
      </c>
      <c r="Q1407" s="2" t="s">
        <v>19</v>
      </c>
    </row>
    <row r="1408" spans="1:17" ht="68" x14ac:dyDescent="0.2">
      <c r="A1408" t="s">
        <v>189</v>
      </c>
      <c r="B1408" t="s">
        <v>138</v>
      </c>
      <c r="C1408" t="s">
        <v>16</v>
      </c>
      <c r="D1408" s="3">
        <v>44257</v>
      </c>
      <c r="E1408" s="1">
        <v>44257.47016203704</v>
      </c>
      <c r="F1408" t="s">
        <v>17</v>
      </c>
      <c r="G1408" t="s">
        <v>32</v>
      </c>
      <c r="H1408" s="1">
        <v>44257.354166666664</v>
      </c>
      <c r="I1408" s="1">
        <v>44257.479166666664</v>
      </c>
      <c r="J1408" s="4">
        <f t="shared" si="21"/>
        <v>0.125</v>
      </c>
      <c r="K1408" t="s">
        <v>191</v>
      </c>
      <c r="M1408">
        <v>0</v>
      </c>
      <c r="N1408" s="6">
        <v>0</v>
      </c>
      <c r="Q1408" s="2" t="s">
        <v>19</v>
      </c>
    </row>
    <row r="1409" spans="1:17" ht="68" x14ac:dyDescent="0.2">
      <c r="A1409" t="s">
        <v>189</v>
      </c>
      <c r="B1409" t="s">
        <v>138</v>
      </c>
      <c r="C1409" t="s">
        <v>16</v>
      </c>
      <c r="D1409" s="3">
        <v>44257</v>
      </c>
      <c r="E1409" s="1">
        <v>44257.682847222219</v>
      </c>
      <c r="F1409" t="s">
        <v>17</v>
      </c>
      <c r="G1409" t="s">
        <v>33</v>
      </c>
      <c r="H1409" s="1">
        <v>44257.5625</v>
      </c>
      <c r="I1409" s="1">
        <v>44257.6875</v>
      </c>
      <c r="J1409" s="4">
        <f t="shared" si="21"/>
        <v>0.125</v>
      </c>
      <c r="K1409" t="s">
        <v>192</v>
      </c>
      <c r="M1409">
        <v>0</v>
      </c>
      <c r="N1409" s="6">
        <v>0</v>
      </c>
      <c r="Q1409" s="2" t="s">
        <v>19</v>
      </c>
    </row>
    <row r="1410" spans="1:17" ht="68" x14ac:dyDescent="0.2">
      <c r="A1410" t="s">
        <v>189</v>
      </c>
      <c r="B1410" t="s">
        <v>138</v>
      </c>
      <c r="C1410" t="s">
        <v>16</v>
      </c>
      <c r="D1410" s="3">
        <v>44258</v>
      </c>
      <c r="E1410" s="1">
        <v>44258.473356481481</v>
      </c>
      <c r="F1410" t="s">
        <v>17</v>
      </c>
      <c r="G1410" t="s">
        <v>31</v>
      </c>
      <c r="H1410" s="1">
        <v>44258.354166666664</v>
      </c>
      <c r="I1410" s="1">
        <v>44258.458333333336</v>
      </c>
      <c r="J1410" s="4">
        <f t="shared" si="21"/>
        <v>0.10416666667151731</v>
      </c>
      <c r="K1410" t="s">
        <v>190</v>
      </c>
      <c r="M1410">
        <v>0</v>
      </c>
      <c r="N1410" s="5" t="s">
        <v>144</v>
      </c>
      <c r="Q1410" s="2" t="s">
        <v>19</v>
      </c>
    </row>
    <row r="1411" spans="1:17" ht="68" x14ac:dyDescent="0.2">
      <c r="A1411" t="s">
        <v>189</v>
      </c>
      <c r="B1411" t="s">
        <v>138</v>
      </c>
      <c r="C1411" t="s">
        <v>16</v>
      </c>
      <c r="D1411" s="3">
        <v>44259</v>
      </c>
      <c r="E1411" s="1">
        <v>44259.473622685182</v>
      </c>
      <c r="F1411" t="s">
        <v>17</v>
      </c>
      <c r="G1411" t="s">
        <v>24</v>
      </c>
      <c r="H1411" s="1">
        <v>44259.354166666664</v>
      </c>
      <c r="I1411" s="1">
        <v>44259.479166666664</v>
      </c>
      <c r="J1411" s="4">
        <f t="shared" ref="J1411:J1474" si="22">IF($I1411="","",$I1411-$H1411)</f>
        <v>0.125</v>
      </c>
      <c r="K1411" t="s">
        <v>191</v>
      </c>
      <c r="M1411">
        <v>4</v>
      </c>
      <c r="N1411" s="6">
        <v>0</v>
      </c>
      <c r="Q1411" s="2" t="s">
        <v>19</v>
      </c>
    </row>
    <row r="1412" spans="1:17" ht="68" x14ac:dyDescent="0.2">
      <c r="A1412" t="s">
        <v>189</v>
      </c>
      <c r="B1412" t="s">
        <v>138</v>
      </c>
      <c r="C1412" t="s">
        <v>16</v>
      </c>
      <c r="D1412" s="3">
        <v>44259</v>
      </c>
      <c r="E1412" s="1">
        <v>44259.628240740742</v>
      </c>
      <c r="F1412" t="s">
        <v>17</v>
      </c>
      <c r="G1412" t="s">
        <v>25</v>
      </c>
      <c r="H1412" s="1">
        <v>44259.5625</v>
      </c>
      <c r="I1412" s="1">
        <v>44259.625</v>
      </c>
      <c r="J1412" s="4">
        <f t="shared" si="22"/>
        <v>6.25E-2</v>
      </c>
      <c r="K1412" t="s">
        <v>192</v>
      </c>
      <c r="M1412">
        <v>0</v>
      </c>
      <c r="N1412" s="6">
        <v>0</v>
      </c>
      <c r="Q1412" s="2" t="s">
        <v>19</v>
      </c>
    </row>
    <row r="1413" spans="1:17" ht="68" x14ac:dyDescent="0.2">
      <c r="A1413" t="s">
        <v>189</v>
      </c>
      <c r="B1413" t="s">
        <v>138</v>
      </c>
      <c r="C1413" t="s">
        <v>16</v>
      </c>
      <c r="D1413" s="3">
        <v>44260</v>
      </c>
      <c r="E1413" s="1">
        <v>44260.467476851853</v>
      </c>
      <c r="F1413" t="s">
        <v>17</v>
      </c>
      <c r="G1413" t="s">
        <v>31</v>
      </c>
      <c r="H1413" s="1">
        <v>44260.354166666664</v>
      </c>
      <c r="I1413" s="1">
        <v>44260.479166666664</v>
      </c>
      <c r="J1413" s="4">
        <f t="shared" si="22"/>
        <v>0.125</v>
      </c>
      <c r="K1413" t="s">
        <v>190</v>
      </c>
      <c r="M1413">
        <v>0</v>
      </c>
      <c r="N1413" s="5" t="s">
        <v>144</v>
      </c>
      <c r="Q1413" s="2" t="s">
        <v>19</v>
      </c>
    </row>
    <row r="1414" spans="1:17" ht="68" x14ac:dyDescent="0.2">
      <c r="A1414" t="s">
        <v>189</v>
      </c>
      <c r="B1414" t="s">
        <v>138</v>
      </c>
      <c r="C1414" t="s">
        <v>16</v>
      </c>
      <c r="D1414" s="3">
        <v>44263</v>
      </c>
      <c r="E1414" s="1">
        <v>44263.473275462966</v>
      </c>
      <c r="F1414" t="s">
        <v>17</v>
      </c>
      <c r="G1414" t="s">
        <v>26</v>
      </c>
      <c r="H1414" s="1">
        <v>44263.354166666664</v>
      </c>
      <c r="I1414" s="1">
        <v>44263.479166666664</v>
      </c>
      <c r="J1414" s="4">
        <f t="shared" si="22"/>
        <v>0.125</v>
      </c>
      <c r="K1414" t="s">
        <v>190</v>
      </c>
      <c r="M1414">
        <v>2</v>
      </c>
      <c r="N1414" s="6">
        <v>0</v>
      </c>
      <c r="Q1414" s="2" t="s">
        <v>19</v>
      </c>
    </row>
    <row r="1415" spans="1:17" ht="68" x14ac:dyDescent="0.2">
      <c r="A1415" t="s">
        <v>189</v>
      </c>
      <c r="B1415" t="s">
        <v>138</v>
      </c>
      <c r="C1415" t="s">
        <v>16</v>
      </c>
      <c r="D1415" s="3">
        <v>44264</v>
      </c>
      <c r="E1415" s="1">
        <v>44264.475393518522</v>
      </c>
      <c r="F1415" t="s">
        <v>17</v>
      </c>
      <c r="G1415" t="s">
        <v>24</v>
      </c>
      <c r="H1415" s="1">
        <v>44264.354166666664</v>
      </c>
      <c r="I1415" s="1">
        <v>44264.479166666664</v>
      </c>
      <c r="J1415" s="4">
        <f t="shared" si="22"/>
        <v>0.125</v>
      </c>
      <c r="K1415" t="s">
        <v>191</v>
      </c>
      <c r="M1415">
        <v>1</v>
      </c>
      <c r="N1415" s="6">
        <v>0</v>
      </c>
      <c r="Q1415" s="2" t="s">
        <v>19</v>
      </c>
    </row>
    <row r="1416" spans="1:17" ht="68" x14ac:dyDescent="0.2">
      <c r="A1416" t="s">
        <v>189</v>
      </c>
      <c r="B1416" t="s">
        <v>138</v>
      </c>
      <c r="C1416" t="s">
        <v>16</v>
      </c>
      <c r="D1416" s="3">
        <v>44264</v>
      </c>
      <c r="E1416" s="1">
        <v>44264.687175925923</v>
      </c>
      <c r="F1416" t="s">
        <v>17</v>
      </c>
      <c r="G1416" t="s">
        <v>34</v>
      </c>
      <c r="H1416" s="1">
        <v>44264.5625</v>
      </c>
      <c r="I1416" s="1">
        <v>44264.6875</v>
      </c>
      <c r="J1416" s="4">
        <f t="shared" si="22"/>
        <v>0.125</v>
      </c>
      <c r="K1416" t="s">
        <v>192</v>
      </c>
      <c r="M1416">
        <v>0</v>
      </c>
      <c r="N1416" s="6">
        <v>0</v>
      </c>
      <c r="Q1416" s="2" t="s">
        <v>19</v>
      </c>
    </row>
    <row r="1417" spans="1:17" ht="68" x14ac:dyDescent="0.2">
      <c r="A1417" t="s">
        <v>189</v>
      </c>
      <c r="B1417" t="s">
        <v>138</v>
      </c>
      <c r="C1417" t="s">
        <v>16</v>
      </c>
      <c r="D1417" s="3">
        <v>44265</v>
      </c>
      <c r="E1417" s="1">
        <v>44265.473761574074</v>
      </c>
      <c r="F1417" t="s">
        <v>17</v>
      </c>
      <c r="G1417" t="s">
        <v>24</v>
      </c>
      <c r="H1417" s="1">
        <v>44265.354166666664</v>
      </c>
      <c r="I1417" s="1">
        <v>44265.479166666664</v>
      </c>
      <c r="J1417" s="4">
        <f t="shared" si="22"/>
        <v>0.125</v>
      </c>
      <c r="K1417" t="s">
        <v>190</v>
      </c>
      <c r="M1417">
        <v>0</v>
      </c>
      <c r="N1417" s="5" t="s">
        <v>144</v>
      </c>
      <c r="Q1417" s="2" t="s">
        <v>19</v>
      </c>
    </row>
    <row r="1418" spans="1:17" ht="68" x14ac:dyDescent="0.2">
      <c r="A1418" t="s">
        <v>189</v>
      </c>
      <c r="B1418" t="s">
        <v>138</v>
      </c>
      <c r="C1418" t="s">
        <v>16</v>
      </c>
      <c r="D1418" s="3">
        <v>44266</v>
      </c>
      <c r="E1418" s="1">
        <v>44266.401504629626</v>
      </c>
      <c r="F1418" t="s">
        <v>17</v>
      </c>
      <c r="G1418" t="s">
        <v>39</v>
      </c>
      <c r="H1418" s="1">
        <v>44266.377083333333</v>
      </c>
      <c r="I1418" s="1">
        <v>44266.510416666664</v>
      </c>
      <c r="J1418" s="4">
        <f t="shared" si="22"/>
        <v>0.13333333333139308</v>
      </c>
      <c r="K1418" t="s">
        <v>192</v>
      </c>
      <c r="M1418">
        <v>2</v>
      </c>
      <c r="N1418" s="6">
        <v>0</v>
      </c>
      <c r="Q1418" s="2" t="s">
        <v>19</v>
      </c>
    </row>
    <row r="1419" spans="1:17" ht="68" x14ac:dyDescent="0.2">
      <c r="A1419" t="s">
        <v>189</v>
      </c>
      <c r="B1419" t="s">
        <v>138</v>
      </c>
      <c r="C1419" t="s">
        <v>16</v>
      </c>
      <c r="D1419" s="3">
        <v>44266</v>
      </c>
      <c r="E1419" s="1">
        <v>44266.664652777778</v>
      </c>
      <c r="F1419" t="s">
        <v>17</v>
      </c>
      <c r="G1419" t="s">
        <v>35</v>
      </c>
      <c r="H1419" s="1">
        <v>44266.53125</v>
      </c>
      <c r="I1419" s="1">
        <v>44266.666666666664</v>
      </c>
      <c r="J1419" s="4">
        <f t="shared" si="22"/>
        <v>0.13541666666424135</v>
      </c>
      <c r="K1419" t="s">
        <v>192</v>
      </c>
      <c r="M1419">
        <v>0</v>
      </c>
      <c r="N1419" s="6">
        <v>0</v>
      </c>
      <c r="Q1419" s="2" t="s">
        <v>19</v>
      </c>
    </row>
    <row r="1420" spans="1:17" ht="68" x14ac:dyDescent="0.2">
      <c r="A1420" t="s">
        <v>189</v>
      </c>
      <c r="B1420" t="s">
        <v>138</v>
      </c>
      <c r="C1420" t="s">
        <v>16</v>
      </c>
      <c r="D1420" s="3">
        <v>44270</v>
      </c>
      <c r="E1420" s="1">
        <v>44270.472291666665</v>
      </c>
      <c r="F1420" t="s">
        <v>17</v>
      </c>
      <c r="G1420" t="s">
        <v>24</v>
      </c>
      <c r="H1420" s="1">
        <v>44270.354166666664</v>
      </c>
      <c r="I1420" s="1">
        <v>44270.479166666664</v>
      </c>
      <c r="J1420" s="4">
        <f t="shared" si="22"/>
        <v>0.125</v>
      </c>
      <c r="K1420" t="s">
        <v>190</v>
      </c>
      <c r="M1420">
        <v>0</v>
      </c>
      <c r="N1420" s="5" t="s">
        <v>144</v>
      </c>
      <c r="Q1420" s="2" t="s">
        <v>19</v>
      </c>
    </row>
    <row r="1421" spans="1:17" ht="68" x14ac:dyDescent="0.2">
      <c r="A1421" t="s">
        <v>189</v>
      </c>
      <c r="B1421" t="s">
        <v>138</v>
      </c>
      <c r="C1421" t="s">
        <v>16</v>
      </c>
      <c r="D1421" s="3">
        <v>44271</v>
      </c>
      <c r="E1421" s="1">
        <v>44271.49486111111</v>
      </c>
      <c r="F1421" t="s">
        <v>17</v>
      </c>
      <c r="G1421" t="s">
        <v>36</v>
      </c>
      <c r="H1421" s="1">
        <v>44271.375</v>
      </c>
      <c r="I1421" s="1">
        <v>44271.489583333336</v>
      </c>
      <c r="J1421" s="4">
        <f t="shared" si="22"/>
        <v>0.11458333333575865</v>
      </c>
      <c r="K1421" t="s">
        <v>192</v>
      </c>
      <c r="M1421">
        <v>0</v>
      </c>
      <c r="N1421" s="6">
        <v>0</v>
      </c>
      <c r="Q1421" s="2" t="s">
        <v>19</v>
      </c>
    </row>
    <row r="1422" spans="1:17" ht="68" x14ac:dyDescent="0.2">
      <c r="A1422" t="s">
        <v>189</v>
      </c>
      <c r="B1422" t="s">
        <v>138</v>
      </c>
      <c r="C1422" t="s">
        <v>16</v>
      </c>
      <c r="D1422" s="3">
        <v>44271</v>
      </c>
      <c r="E1422" s="1">
        <v>44271.567673611113</v>
      </c>
      <c r="F1422" t="s">
        <v>17</v>
      </c>
      <c r="G1422" t="s">
        <v>37</v>
      </c>
      <c r="H1422" s="1">
        <v>44271.53125</v>
      </c>
      <c r="I1422" s="1">
        <v>44271.635416666664</v>
      </c>
      <c r="J1422" s="4">
        <f t="shared" si="22"/>
        <v>0.10416666666424135</v>
      </c>
      <c r="K1422" t="s">
        <v>192</v>
      </c>
      <c r="M1422">
        <v>1</v>
      </c>
      <c r="N1422" s="6">
        <v>0</v>
      </c>
      <c r="Q1422" s="2" t="s">
        <v>19</v>
      </c>
    </row>
    <row r="1423" spans="1:17" ht="68" x14ac:dyDescent="0.2">
      <c r="A1423" t="s">
        <v>189</v>
      </c>
      <c r="B1423" t="s">
        <v>138</v>
      </c>
      <c r="C1423" t="s">
        <v>16</v>
      </c>
      <c r="D1423" s="3">
        <v>44272</v>
      </c>
      <c r="E1423" s="1">
        <v>44272.476145833331</v>
      </c>
      <c r="F1423" t="s">
        <v>17</v>
      </c>
      <c r="G1423" t="s">
        <v>38</v>
      </c>
      <c r="H1423" s="1">
        <v>44272.354166666664</v>
      </c>
      <c r="I1423" s="1">
        <v>44272.479166666664</v>
      </c>
      <c r="J1423" s="4">
        <f t="shared" si="22"/>
        <v>0.125</v>
      </c>
      <c r="K1423" t="s">
        <v>190</v>
      </c>
      <c r="M1423">
        <v>0</v>
      </c>
      <c r="N1423" s="5" t="s">
        <v>144</v>
      </c>
      <c r="Q1423" s="2" t="s">
        <v>19</v>
      </c>
    </row>
    <row r="1424" spans="1:17" ht="68" x14ac:dyDescent="0.2">
      <c r="A1424" t="s">
        <v>189</v>
      </c>
      <c r="B1424" t="s">
        <v>138</v>
      </c>
      <c r="C1424" t="s">
        <v>16</v>
      </c>
      <c r="D1424" s="3">
        <v>44273</v>
      </c>
      <c r="E1424" s="1">
        <v>44273.49428240741</v>
      </c>
      <c r="F1424" t="s">
        <v>17</v>
      </c>
      <c r="G1424" t="s">
        <v>39</v>
      </c>
      <c r="H1424" s="1">
        <v>44273.375</v>
      </c>
      <c r="I1424" s="1">
        <v>44273.489583333336</v>
      </c>
      <c r="J1424" s="4">
        <f t="shared" si="22"/>
        <v>0.11458333333575865</v>
      </c>
      <c r="K1424" t="s">
        <v>192</v>
      </c>
      <c r="M1424">
        <v>0</v>
      </c>
      <c r="N1424" s="6">
        <v>0</v>
      </c>
      <c r="Q1424" s="2" t="s">
        <v>19</v>
      </c>
    </row>
    <row r="1425" spans="1:17" ht="68" x14ac:dyDescent="0.2">
      <c r="A1425" t="s">
        <v>189</v>
      </c>
      <c r="B1425" t="s">
        <v>138</v>
      </c>
      <c r="C1425" t="s">
        <v>16</v>
      </c>
      <c r="D1425" s="3">
        <v>44273</v>
      </c>
      <c r="E1425" s="1">
        <v>44273.664953703701</v>
      </c>
      <c r="F1425" t="s">
        <v>17</v>
      </c>
      <c r="G1425" t="s">
        <v>40</v>
      </c>
      <c r="H1425" s="1">
        <v>44273.53125</v>
      </c>
      <c r="I1425" s="1">
        <v>44273.666666666664</v>
      </c>
      <c r="J1425" s="4">
        <f t="shared" si="22"/>
        <v>0.13541666666424135</v>
      </c>
      <c r="K1425" t="s">
        <v>192</v>
      </c>
      <c r="M1425">
        <v>0</v>
      </c>
      <c r="N1425" s="6">
        <v>0</v>
      </c>
      <c r="Q1425" s="2" t="s">
        <v>19</v>
      </c>
    </row>
    <row r="1426" spans="1:17" ht="68" x14ac:dyDescent="0.2">
      <c r="A1426" t="s">
        <v>189</v>
      </c>
      <c r="B1426" t="s">
        <v>138</v>
      </c>
      <c r="C1426" t="s">
        <v>16</v>
      </c>
      <c r="D1426" s="3">
        <v>44279</v>
      </c>
      <c r="E1426" s="1">
        <v>44279.47383101852</v>
      </c>
      <c r="F1426" t="s">
        <v>17</v>
      </c>
      <c r="G1426" t="s">
        <v>41</v>
      </c>
      <c r="H1426" s="1">
        <v>44279.354166666664</v>
      </c>
      <c r="I1426" s="1">
        <v>44279.479166666664</v>
      </c>
      <c r="J1426" s="4">
        <f t="shared" si="22"/>
        <v>0.125</v>
      </c>
      <c r="K1426" t="s">
        <v>190</v>
      </c>
      <c r="M1426">
        <v>0</v>
      </c>
      <c r="N1426" s="5" t="s">
        <v>144</v>
      </c>
      <c r="Q1426" s="2" t="s">
        <v>19</v>
      </c>
    </row>
    <row r="1427" spans="1:17" ht="68" x14ac:dyDescent="0.2">
      <c r="A1427" t="s">
        <v>189</v>
      </c>
      <c r="B1427" t="s">
        <v>138</v>
      </c>
      <c r="C1427" t="s">
        <v>16</v>
      </c>
      <c r="D1427" s="3">
        <v>44281</v>
      </c>
      <c r="E1427" s="1">
        <v>44281.475740740738</v>
      </c>
      <c r="F1427" t="s">
        <v>17</v>
      </c>
      <c r="G1427" t="s">
        <v>38</v>
      </c>
      <c r="H1427" s="1">
        <v>44281.354166666664</v>
      </c>
      <c r="I1427" s="1">
        <v>44281.479166666664</v>
      </c>
      <c r="J1427" s="4">
        <f t="shared" si="22"/>
        <v>0.125</v>
      </c>
      <c r="K1427" t="s">
        <v>190</v>
      </c>
      <c r="M1427">
        <v>0</v>
      </c>
      <c r="N1427" s="5" t="s">
        <v>144</v>
      </c>
      <c r="Q1427" s="2" t="s">
        <v>19</v>
      </c>
    </row>
    <row r="1428" spans="1:17" ht="68" x14ac:dyDescent="0.2">
      <c r="A1428" t="s">
        <v>189</v>
      </c>
      <c r="B1428" t="s">
        <v>138</v>
      </c>
      <c r="C1428" t="s">
        <v>16</v>
      </c>
      <c r="D1428" s="3">
        <v>44284</v>
      </c>
      <c r="E1428" s="1">
        <v>44284.472824074073</v>
      </c>
      <c r="F1428" t="s">
        <v>17</v>
      </c>
      <c r="G1428" t="s">
        <v>38</v>
      </c>
      <c r="H1428" s="1">
        <v>44284.354166666664</v>
      </c>
      <c r="I1428" s="1">
        <v>44284.479166666664</v>
      </c>
      <c r="J1428" s="4">
        <f t="shared" si="22"/>
        <v>0.125</v>
      </c>
      <c r="K1428" t="s">
        <v>190</v>
      </c>
      <c r="M1428">
        <v>0</v>
      </c>
      <c r="N1428" s="5" t="s">
        <v>144</v>
      </c>
      <c r="Q1428" s="2" t="s">
        <v>19</v>
      </c>
    </row>
    <row r="1429" spans="1:17" ht="68" x14ac:dyDescent="0.2">
      <c r="A1429" t="s">
        <v>189</v>
      </c>
      <c r="B1429" t="s">
        <v>138</v>
      </c>
      <c r="C1429" t="s">
        <v>16</v>
      </c>
      <c r="D1429" s="3">
        <v>44284</v>
      </c>
      <c r="E1429" s="1">
        <v>44284.47284722222</v>
      </c>
      <c r="F1429" t="s">
        <v>17</v>
      </c>
      <c r="G1429" t="s">
        <v>38</v>
      </c>
      <c r="H1429" s="1">
        <v>44284.354166666664</v>
      </c>
      <c r="I1429" s="1">
        <v>44284.479166666664</v>
      </c>
      <c r="J1429" s="4">
        <f t="shared" si="22"/>
        <v>0.125</v>
      </c>
      <c r="K1429" t="s">
        <v>190</v>
      </c>
      <c r="M1429">
        <v>0</v>
      </c>
      <c r="N1429" s="5" t="s">
        <v>144</v>
      </c>
      <c r="Q1429" s="2" t="s">
        <v>19</v>
      </c>
    </row>
    <row r="1430" spans="1:17" ht="68" x14ac:dyDescent="0.2">
      <c r="A1430" t="s">
        <v>189</v>
      </c>
      <c r="B1430" t="s">
        <v>138</v>
      </c>
      <c r="C1430" t="s">
        <v>16</v>
      </c>
      <c r="D1430" s="3">
        <v>44285</v>
      </c>
      <c r="E1430" s="1">
        <v>44285.494664351849</v>
      </c>
      <c r="F1430" t="s">
        <v>17</v>
      </c>
      <c r="G1430" t="s">
        <v>29</v>
      </c>
      <c r="H1430" s="1">
        <v>44285.375</v>
      </c>
      <c r="I1430" s="1">
        <v>44285.489583333336</v>
      </c>
      <c r="J1430" s="4">
        <f t="shared" si="22"/>
        <v>0.11458333333575865</v>
      </c>
      <c r="K1430" t="s">
        <v>192</v>
      </c>
      <c r="M1430">
        <v>0</v>
      </c>
      <c r="N1430" s="6">
        <v>0</v>
      </c>
      <c r="Q1430" s="2" t="s">
        <v>19</v>
      </c>
    </row>
    <row r="1431" spans="1:17" ht="68" x14ac:dyDescent="0.2">
      <c r="A1431" t="s">
        <v>189</v>
      </c>
      <c r="B1431" t="s">
        <v>138</v>
      </c>
      <c r="C1431" t="s">
        <v>16</v>
      </c>
      <c r="D1431" s="3">
        <v>44285</v>
      </c>
      <c r="E1431" s="1">
        <v>44285.667627314811</v>
      </c>
      <c r="F1431" t="s">
        <v>17</v>
      </c>
      <c r="G1431" t="s">
        <v>42</v>
      </c>
      <c r="H1431" s="1">
        <v>44285.53125</v>
      </c>
      <c r="I1431" s="1">
        <v>44285.666666666664</v>
      </c>
      <c r="J1431" s="4">
        <f t="shared" si="22"/>
        <v>0.13541666666424135</v>
      </c>
      <c r="K1431" t="s">
        <v>192</v>
      </c>
      <c r="M1431">
        <v>0</v>
      </c>
      <c r="N1431" s="6">
        <v>0</v>
      </c>
      <c r="Q1431" s="2" t="s">
        <v>19</v>
      </c>
    </row>
    <row r="1432" spans="1:17" ht="68" x14ac:dyDescent="0.2">
      <c r="A1432" t="s">
        <v>189</v>
      </c>
      <c r="B1432" t="s">
        <v>138</v>
      </c>
      <c r="C1432" t="s">
        <v>16</v>
      </c>
      <c r="D1432" s="3">
        <v>44286</v>
      </c>
      <c r="E1432" s="1">
        <v>44286.472118055557</v>
      </c>
      <c r="F1432" t="s">
        <v>17</v>
      </c>
      <c r="G1432" t="s">
        <v>31</v>
      </c>
      <c r="H1432" s="1">
        <v>44286.354166666664</v>
      </c>
      <c r="I1432" s="1">
        <v>44286.479166666664</v>
      </c>
      <c r="J1432" s="4">
        <f t="shared" si="22"/>
        <v>0.125</v>
      </c>
      <c r="K1432" t="s">
        <v>190</v>
      </c>
      <c r="M1432">
        <v>0</v>
      </c>
      <c r="N1432" s="5" t="s">
        <v>144</v>
      </c>
      <c r="Q1432" s="2" t="s">
        <v>19</v>
      </c>
    </row>
    <row r="1433" spans="1:17" ht="68" x14ac:dyDescent="0.2">
      <c r="A1433" t="s">
        <v>189</v>
      </c>
      <c r="B1433" t="s">
        <v>138</v>
      </c>
      <c r="C1433" t="s">
        <v>16</v>
      </c>
      <c r="D1433" s="3">
        <v>44287</v>
      </c>
      <c r="E1433" s="1">
        <v>44287.496377314812</v>
      </c>
      <c r="F1433" t="s">
        <v>17</v>
      </c>
      <c r="G1433" t="s">
        <v>43</v>
      </c>
      <c r="H1433" s="1">
        <v>44287.375</v>
      </c>
      <c r="I1433" s="1">
        <v>44287.489583333336</v>
      </c>
      <c r="J1433" s="4">
        <f t="shared" si="22"/>
        <v>0.11458333333575865</v>
      </c>
      <c r="K1433" t="s">
        <v>192</v>
      </c>
      <c r="M1433">
        <v>0</v>
      </c>
      <c r="N1433" s="6">
        <v>0</v>
      </c>
      <c r="Q1433" s="2" t="s">
        <v>19</v>
      </c>
    </row>
    <row r="1434" spans="1:17" ht="68" x14ac:dyDescent="0.2">
      <c r="A1434" t="s">
        <v>189</v>
      </c>
      <c r="B1434" t="s">
        <v>138</v>
      </c>
      <c r="C1434" t="s">
        <v>16</v>
      </c>
      <c r="D1434" s="3">
        <v>44287</v>
      </c>
      <c r="E1434" s="1">
        <v>44287.664699074077</v>
      </c>
      <c r="F1434" t="s">
        <v>17</v>
      </c>
      <c r="G1434" t="s">
        <v>37</v>
      </c>
      <c r="H1434" s="1">
        <v>44287.53125</v>
      </c>
      <c r="I1434" s="1">
        <v>44287.666666666664</v>
      </c>
      <c r="J1434" s="4">
        <f t="shared" si="22"/>
        <v>0.13541666666424135</v>
      </c>
      <c r="K1434" t="s">
        <v>192</v>
      </c>
      <c r="M1434">
        <v>0</v>
      </c>
      <c r="N1434" s="6">
        <v>0</v>
      </c>
      <c r="Q1434" s="2" t="s">
        <v>19</v>
      </c>
    </row>
    <row r="1435" spans="1:17" ht="68" x14ac:dyDescent="0.2">
      <c r="A1435" t="s">
        <v>189</v>
      </c>
      <c r="B1435" t="s">
        <v>138</v>
      </c>
      <c r="C1435" t="s">
        <v>16</v>
      </c>
      <c r="D1435" s="3">
        <v>44288</v>
      </c>
      <c r="E1435" s="1">
        <v>44288.47452546296</v>
      </c>
      <c r="F1435" t="s">
        <v>17</v>
      </c>
      <c r="G1435" t="s">
        <v>38</v>
      </c>
      <c r="H1435" s="1">
        <v>44288.354166666664</v>
      </c>
      <c r="I1435" s="1">
        <v>44288.479166666664</v>
      </c>
      <c r="J1435" s="4">
        <f t="shared" si="22"/>
        <v>0.125</v>
      </c>
      <c r="K1435" t="s">
        <v>190</v>
      </c>
      <c r="M1435">
        <v>0</v>
      </c>
      <c r="N1435" s="5" t="s">
        <v>144</v>
      </c>
      <c r="Q1435" s="2" t="s">
        <v>19</v>
      </c>
    </row>
    <row r="1436" spans="1:17" ht="68" x14ac:dyDescent="0.2">
      <c r="A1436" t="s">
        <v>189</v>
      </c>
      <c r="B1436" t="s">
        <v>138</v>
      </c>
      <c r="C1436" t="s">
        <v>16</v>
      </c>
      <c r="D1436" s="3">
        <v>44291</v>
      </c>
      <c r="E1436" s="1">
        <v>44291.465543981481</v>
      </c>
      <c r="F1436" t="s">
        <v>17</v>
      </c>
      <c r="G1436" t="s">
        <v>38</v>
      </c>
      <c r="H1436" s="1">
        <v>44291.354166666664</v>
      </c>
      <c r="I1436" s="1">
        <v>44291.479166666664</v>
      </c>
      <c r="J1436" s="4">
        <f t="shared" si="22"/>
        <v>0.125</v>
      </c>
      <c r="K1436" t="s">
        <v>190</v>
      </c>
      <c r="M1436">
        <v>0</v>
      </c>
      <c r="N1436" s="5" t="s">
        <v>144</v>
      </c>
      <c r="Q1436" s="2" t="s">
        <v>19</v>
      </c>
    </row>
    <row r="1437" spans="1:17" ht="68" x14ac:dyDescent="0.2">
      <c r="A1437" t="s">
        <v>189</v>
      </c>
      <c r="B1437" t="s">
        <v>138</v>
      </c>
      <c r="C1437" t="s">
        <v>16</v>
      </c>
      <c r="D1437" s="3">
        <v>44292</v>
      </c>
      <c r="E1437" s="1">
        <v>44292.489282407405</v>
      </c>
      <c r="F1437" t="s">
        <v>17</v>
      </c>
      <c r="G1437" t="s">
        <v>44</v>
      </c>
      <c r="H1437" s="1">
        <v>44292.375</v>
      </c>
      <c r="I1437" s="1">
        <v>44292.489583333336</v>
      </c>
      <c r="J1437" s="4">
        <f t="shared" si="22"/>
        <v>0.11458333333575865</v>
      </c>
      <c r="K1437" t="s">
        <v>192</v>
      </c>
      <c r="M1437">
        <v>0</v>
      </c>
      <c r="N1437" s="6">
        <v>0</v>
      </c>
      <c r="Q1437" s="2" t="s">
        <v>19</v>
      </c>
    </row>
    <row r="1438" spans="1:17" ht="68" x14ac:dyDescent="0.2">
      <c r="A1438" t="s">
        <v>189</v>
      </c>
      <c r="B1438" t="s">
        <v>138</v>
      </c>
      <c r="C1438" t="s">
        <v>16</v>
      </c>
      <c r="D1438" s="3">
        <v>44292</v>
      </c>
      <c r="E1438" s="1">
        <v>44292.661504629628</v>
      </c>
      <c r="F1438" t="s">
        <v>17</v>
      </c>
      <c r="G1438" t="s">
        <v>45</v>
      </c>
      <c r="H1438" s="1">
        <v>44292.53125</v>
      </c>
      <c r="I1438" s="1">
        <v>44292.666666666664</v>
      </c>
      <c r="J1438" s="4">
        <f t="shared" si="22"/>
        <v>0.13541666666424135</v>
      </c>
      <c r="K1438" t="s">
        <v>193</v>
      </c>
      <c r="M1438">
        <v>0</v>
      </c>
      <c r="N1438" s="6">
        <v>0</v>
      </c>
      <c r="Q1438" s="2" t="s">
        <v>19</v>
      </c>
    </row>
    <row r="1439" spans="1:17" ht="68" x14ac:dyDescent="0.2">
      <c r="A1439" t="s">
        <v>189</v>
      </c>
      <c r="B1439" t="s">
        <v>138</v>
      </c>
      <c r="C1439" t="s">
        <v>16</v>
      </c>
      <c r="D1439" s="3">
        <v>44293</v>
      </c>
      <c r="E1439" s="1">
        <v>44293.459675925929</v>
      </c>
      <c r="F1439" t="s">
        <v>17</v>
      </c>
      <c r="G1439" t="s">
        <v>18</v>
      </c>
      <c r="H1439" s="1">
        <v>44293.354166666664</v>
      </c>
      <c r="I1439" s="1">
        <v>44293.479166666664</v>
      </c>
      <c r="J1439" s="4">
        <f t="shared" si="22"/>
        <v>0.125</v>
      </c>
      <c r="K1439" t="s">
        <v>190</v>
      </c>
      <c r="M1439">
        <v>0</v>
      </c>
      <c r="N1439" s="5" t="s">
        <v>144</v>
      </c>
      <c r="Q1439" s="2" t="s">
        <v>19</v>
      </c>
    </row>
    <row r="1440" spans="1:17" ht="68" x14ac:dyDescent="0.2">
      <c r="A1440" t="s">
        <v>189</v>
      </c>
      <c r="B1440" t="s">
        <v>138</v>
      </c>
      <c r="C1440" t="s">
        <v>16</v>
      </c>
      <c r="D1440" s="3">
        <v>44294</v>
      </c>
      <c r="E1440" s="1">
        <v>44294.487256944441</v>
      </c>
      <c r="F1440" t="s">
        <v>17</v>
      </c>
      <c r="G1440" t="s">
        <v>46</v>
      </c>
      <c r="H1440" s="1">
        <v>44294.375</v>
      </c>
      <c r="I1440" s="1">
        <v>44294.489583333336</v>
      </c>
      <c r="J1440" s="4">
        <f t="shared" si="22"/>
        <v>0.11458333333575865</v>
      </c>
      <c r="K1440" t="s">
        <v>194</v>
      </c>
      <c r="M1440">
        <v>0</v>
      </c>
      <c r="N1440" s="6">
        <v>0</v>
      </c>
      <c r="Q1440" s="2" t="s">
        <v>19</v>
      </c>
    </row>
    <row r="1441" spans="1:17" ht="68" x14ac:dyDescent="0.2">
      <c r="A1441" t="s">
        <v>189</v>
      </c>
      <c r="B1441" t="s">
        <v>138</v>
      </c>
      <c r="C1441" t="s">
        <v>16</v>
      </c>
      <c r="D1441" s="3">
        <v>44294</v>
      </c>
      <c r="E1441" s="1">
        <v>44294.669675925928</v>
      </c>
      <c r="F1441" t="s">
        <v>17</v>
      </c>
      <c r="G1441" t="s">
        <v>42</v>
      </c>
      <c r="H1441" s="1">
        <v>44294.53125</v>
      </c>
      <c r="I1441" s="1">
        <v>44294.666666666664</v>
      </c>
      <c r="J1441" s="4">
        <f t="shared" si="22"/>
        <v>0.13541666666424135</v>
      </c>
      <c r="K1441" t="s">
        <v>192</v>
      </c>
      <c r="M1441">
        <v>0</v>
      </c>
      <c r="N1441" s="6">
        <v>0</v>
      </c>
      <c r="Q1441" s="2" t="s">
        <v>19</v>
      </c>
    </row>
    <row r="1442" spans="1:17" ht="68" x14ac:dyDescent="0.2">
      <c r="A1442" t="s">
        <v>189</v>
      </c>
      <c r="B1442" t="s">
        <v>138</v>
      </c>
      <c r="C1442" t="s">
        <v>16</v>
      </c>
      <c r="D1442" s="3">
        <v>44298</v>
      </c>
      <c r="E1442" s="1">
        <v>44298.555520833332</v>
      </c>
      <c r="F1442" t="s">
        <v>17</v>
      </c>
      <c r="G1442" t="s">
        <v>45</v>
      </c>
      <c r="H1442" s="1">
        <v>44298.53125</v>
      </c>
      <c r="I1442" s="1">
        <v>44298.666666666664</v>
      </c>
      <c r="J1442" s="4">
        <f t="shared" si="22"/>
        <v>0.13541666666424135</v>
      </c>
      <c r="K1442" t="s">
        <v>195</v>
      </c>
      <c r="M1442">
        <v>2</v>
      </c>
      <c r="N1442" s="6">
        <v>0</v>
      </c>
      <c r="Q1442" s="2" t="s">
        <v>19</v>
      </c>
    </row>
    <row r="1443" spans="1:17" ht="68" x14ac:dyDescent="0.2">
      <c r="A1443" t="s">
        <v>189</v>
      </c>
      <c r="B1443" t="s">
        <v>138</v>
      </c>
      <c r="C1443" t="s">
        <v>16</v>
      </c>
      <c r="D1443" s="3">
        <v>44298</v>
      </c>
      <c r="E1443" s="1">
        <v>44298.660682870373</v>
      </c>
      <c r="F1443" t="s">
        <v>17</v>
      </c>
      <c r="G1443" t="s">
        <v>45</v>
      </c>
      <c r="H1443" s="1">
        <v>44298.53125</v>
      </c>
      <c r="I1443" s="1">
        <v>44298.666666666664</v>
      </c>
      <c r="J1443" s="4">
        <f t="shared" si="22"/>
        <v>0.13541666666424135</v>
      </c>
      <c r="K1443" t="s">
        <v>195</v>
      </c>
      <c r="M1443">
        <v>0</v>
      </c>
      <c r="N1443" s="6">
        <v>0</v>
      </c>
      <c r="Q1443" s="2" t="s">
        <v>19</v>
      </c>
    </row>
    <row r="1444" spans="1:17" ht="68" x14ac:dyDescent="0.2">
      <c r="A1444" t="s">
        <v>189</v>
      </c>
      <c r="B1444" t="s">
        <v>138</v>
      </c>
      <c r="C1444" t="s">
        <v>16</v>
      </c>
      <c r="D1444" s="3">
        <v>44299</v>
      </c>
      <c r="E1444" s="1">
        <v>44299.488611111112</v>
      </c>
      <c r="F1444" t="s">
        <v>17</v>
      </c>
      <c r="G1444" t="s">
        <v>47</v>
      </c>
      <c r="H1444" s="1">
        <v>44299.375</v>
      </c>
      <c r="I1444" s="1">
        <v>44299.510416666664</v>
      </c>
      <c r="J1444" s="4">
        <f t="shared" si="22"/>
        <v>0.13541666666424135</v>
      </c>
      <c r="K1444" t="s">
        <v>192</v>
      </c>
      <c r="M1444">
        <v>0</v>
      </c>
      <c r="N1444" s="6">
        <v>0</v>
      </c>
      <c r="Q1444" s="2" t="s">
        <v>19</v>
      </c>
    </row>
    <row r="1445" spans="1:17" ht="68" x14ac:dyDescent="0.2">
      <c r="A1445" t="s">
        <v>189</v>
      </c>
      <c r="B1445" t="s">
        <v>138</v>
      </c>
      <c r="C1445" t="s">
        <v>16</v>
      </c>
      <c r="D1445" s="3">
        <v>44299</v>
      </c>
      <c r="E1445" s="1">
        <v>44299.634085648147</v>
      </c>
      <c r="F1445" t="s">
        <v>17</v>
      </c>
      <c r="G1445" t="s">
        <v>48</v>
      </c>
      <c r="H1445" s="1">
        <v>44299.53125</v>
      </c>
      <c r="I1445" s="1">
        <v>44299.635416666664</v>
      </c>
      <c r="J1445" s="4">
        <f t="shared" si="22"/>
        <v>0.10416666666424135</v>
      </c>
      <c r="K1445" t="s">
        <v>192</v>
      </c>
      <c r="M1445">
        <v>1</v>
      </c>
      <c r="N1445" s="6">
        <v>0</v>
      </c>
      <c r="Q1445" s="2" t="s">
        <v>19</v>
      </c>
    </row>
    <row r="1446" spans="1:17" ht="68" x14ac:dyDescent="0.2">
      <c r="A1446" t="s">
        <v>189</v>
      </c>
      <c r="B1446" t="s">
        <v>138</v>
      </c>
      <c r="C1446" t="s">
        <v>16</v>
      </c>
      <c r="D1446" s="3">
        <v>44299</v>
      </c>
      <c r="E1446" s="1">
        <v>44299.667546296296</v>
      </c>
      <c r="F1446" t="s">
        <v>17</v>
      </c>
      <c r="G1446" t="s">
        <v>49</v>
      </c>
      <c r="H1446" s="1">
        <v>44299.63958333333</v>
      </c>
      <c r="I1446" s="1">
        <v>44299.666666666664</v>
      </c>
      <c r="J1446" s="4">
        <f t="shared" si="22"/>
        <v>2.7083333334303461E-2</v>
      </c>
      <c r="K1446" t="s">
        <v>196</v>
      </c>
      <c r="M1446">
        <v>0</v>
      </c>
      <c r="N1446" s="6">
        <v>0</v>
      </c>
      <c r="Q1446" s="2" t="s">
        <v>19</v>
      </c>
    </row>
    <row r="1447" spans="1:17" ht="68" x14ac:dyDescent="0.2">
      <c r="A1447" t="s">
        <v>189</v>
      </c>
      <c r="B1447" t="s">
        <v>138</v>
      </c>
      <c r="C1447" t="s">
        <v>16</v>
      </c>
      <c r="D1447" s="3">
        <v>44300</v>
      </c>
      <c r="E1447" s="1">
        <v>44300.490613425929</v>
      </c>
      <c r="F1447" t="s">
        <v>17</v>
      </c>
      <c r="G1447" t="s">
        <v>50</v>
      </c>
      <c r="H1447" s="1">
        <v>44300.375</v>
      </c>
      <c r="I1447" s="1">
        <v>44300.489583333336</v>
      </c>
      <c r="J1447" s="4">
        <f t="shared" si="22"/>
        <v>0.11458333333575865</v>
      </c>
      <c r="K1447" t="s">
        <v>197</v>
      </c>
      <c r="M1447">
        <v>3</v>
      </c>
      <c r="N1447" s="6">
        <v>0</v>
      </c>
      <c r="Q1447" s="2" t="s">
        <v>19</v>
      </c>
    </row>
    <row r="1448" spans="1:17" ht="68" x14ac:dyDescent="0.2">
      <c r="A1448" t="s">
        <v>189</v>
      </c>
      <c r="B1448" t="s">
        <v>138</v>
      </c>
      <c r="C1448" t="s">
        <v>16</v>
      </c>
      <c r="D1448" s="3">
        <v>44300</v>
      </c>
      <c r="E1448" s="1">
        <v>44300.66951388889</v>
      </c>
      <c r="F1448" t="s">
        <v>17</v>
      </c>
      <c r="G1448" t="s">
        <v>51</v>
      </c>
      <c r="H1448" s="1">
        <v>44300.552083333336</v>
      </c>
      <c r="I1448" s="1">
        <v>44300.666666666664</v>
      </c>
      <c r="J1448" s="4">
        <f t="shared" si="22"/>
        <v>0.11458333332848269</v>
      </c>
      <c r="K1448" t="s">
        <v>198</v>
      </c>
      <c r="M1448">
        <v>0</v>
      </c>
      <c r="N1448" s="6">
        <v>0</v>
      </c>
      <c r="Q1448" s="2" t="s">
        <v>19</v>
      </c>
    </row>
    <row r="1449" spans="1:17" ht="68" x14ac:dyDescent="0.2">
      <c r="A1449" t="s">
        <v>189</v>
      </c>
      <c r="B1449" t="s">
        <v>138</v>
      </c>
      <c r="C1449" t="s">
        <v>16</v>
      </c>
      <c r="D1449" s="3">
        <v>44301</v>
      </c>
      <c r="E1449" s="1">
        <v>44301.498819444445</v>
      </c>
      <c r="F1449" t="s">
        <v>17</v>
      </c>
      <c r="G1449" t="s">
        <v>52</v>
      </c>
      <c r="H1449" s="1">
        <v>44301.375</v>
      </c>
      <c r="I1449" s="1">
        <v>44301.510416666664</v>
      </c>
      <c r="J1449" s="4">
        <f t="shared" si="22"/>
        <v>0.13541666666424135</v>
      </c>
      <c r="K1449" t="s">
        <v>192</v>
      </c>
      <c r="M1449">
        <v>0</v>
      </c>
      <c r="N1449" s="6">
        <v>0</v>
      </c>
      <c r="Q1449" s="2" t="s">
        <v>19</v>
      </c>
    </row>
    <row r="1450" spans="1:17" ht="68" x14ac:dyDescent="0.2">
      <c r="A1450" t="s">
        <v>189</v>
      </c>
      <c r="B1450" t="s">
        <v>138</v>
      </c>
      <c r="C1450" t="s">
        <v>16</v>
      </c>
      <c r="D1450" s="3">
        <v>44301</v>
      </c>
      <c r="E1450" s="1">
        <v>44301.587824074071</v>
      </c>
      <c r="F1450" t="s">
        <v>17</v>
      </c>
      <c r="G1450" t="s">
        <v>37</v>
      </c>
      <c r="H1450" s="1">
        <v>44301.53125</v>
      </c>
      <c r="I1450" s="1">
        <v>44301.666666666664</v>
      </c>
      <c r="J1450" s="4">
        <f t="shared" si="22"/>
        <v>0.13541666666424135</v>
      </c>
      <c r="K1450" t="s">
        <v>192</v>
      </c>
      <c r="M1450">
        <v>3</v>
      </c>
      <c r="N1450" s="6">
        <v>0</v>
      </c>
      <c r="Q1450" s="2" t="s">
        <v>19</v>
      </c>
    </row>
    <row r="1451" spans="1:17" ht="68" x14ac:dyDescent="0.2">
      <c r="A1451" t="s">
        <v>189</v>
      </c>
      <c r="B1451" t="s">
        <v>138</v>
      </c>
      <c r="C1451" t="s">
        <v>16</v>
      </c>
      <c r="D1451" s="3">
        <v>44302</v>
      </c>
      <c r="E1451" s="1">
        <v>44302.486921296295</v>
      </c>
      <c r="F1451" t="s">
        <v>17</v>
      </c>
      <c r="G1451" t="s">
        <v>53</v>
      </c>
      <c r="H1451" s="1">
        <v>44302.395833333336</v>
      </c>
      <c r="I1451" s="1">
        <v>44302.489583333336</v>
      </c>
      <c r="J1451" s="4">
        <f t="shared" si="22"/>
        <v>9.375E-2</v>
      </c>
      <c r="K1451" t="s">
        <v>199</v>
      </c>
      <c r="M1451">
        <v>0</v>
      </c>
      <c r="N1451" s="6">
        <v>0</v>
      </c>
      <c r="Q1451" s="2" t="s">
        <v>19</v>
      </c>
    </row>
    <row r="1452" spans="1:17" ht="68" x14ac:dyDescent="0.2">
      <c r="A1452" t="s">
        <v>189</v>
      </c>
      <c r="B1452" t="s">
        <v>138</v>
      </c>
      <c r="C1452" t="s">
        <v>16</v>
      </c>
      <c r="D1452" s="3">
        <v>44302</v>
      </c>
      <c r="E1452" s="1">
        <v>44302.658159722225</v>
      </c>
      <c r="F1452" t="s">
        <v>17</v>
      </c>
      <c r="G1452" t="s">
        <v>54</v>
      </c>
      <c r="H1452" s="1">
        <v>44302.53125</v>
      </c>
      <c r="I1452" s="1">
        <v>44302.666666666664</v>
      </c>
      <c r="J1452" s="4">
        <f t="shared" si="22"/>
        <v>0.13541666666424135</v>
      </c>
      <c r="K1452" t="s">
        <v>195</v>
      </c>
      <c r="M1452">
        <v>0</v>
      </c>
      <c r="N1452" s="6">
        <v>0</v>
      </c>
      <c r="Q1452" s="2" t="s">
        <v>19</v>
      </c>
    </row>
    <row r="1453" spans="1:17" ht="68" x14ac:dyDescent="0.2">
      <c r="A1453" t="s">
        <v>189</v>
      </c>
      <c r="B1453" t="s">
        <v>138</v>
      </c>
      <c r="C1453" t="s">
        <v>16</v>
      </c>
      <c r="D1453" s="3">
        <v>44307</v>
      </c>
      <c r="E1453" s="1">
        <v>44307.489108796297</v>
      </c>
      <c r="F1453" t="s">
        <v>17</v>
      </c>
      <c r="G1453" t="s">
        <v>36</v>
      </c>
      <c r="H1453" s="1">
        <v>44307.375</v>
      </c>
      <c r="I1453" s="1">
        <v>44307.489583333336</v>
      </c>
      <c r="J1453" s="4">
        <f t="shared" si="22"/>
        <v>0.11458333333575865</v>
      </c>
      <c r="K1453" t="s">
        <v>197</v>
      </c>
      <c r="M1453">
        <v>2</v>
      </c>
      <c r="N1453" s="6">
        <v>0</v>
      </c>
      <c r="Q1453" s="2" t="s">
        <v>19</v>
      </c>
    </row>
    <row r="1454" spans="1:17" ht="68" x14ac:dyDescent="0.2">
      <c r="A1454" t="s">
        <v>189</v>
      </c>
      <c r="B1454" t="s">
        <v>138</v>
      </c>
      <c r="C1454" t="s">
        <v>16</v>
      </c>
      <c r="D1454" s="3">
        <v>44307</v>
      </c>
      <c r="E1454" s="1">
        <v>44307.649722222224</v>
      </c>
      <c r="F1454" t="s">
        <v>17</v>
      </c>
      <c r="G1454" t="s">
        <v>37</v>
      </c>
      <c r="H1454" s="1">
        <v>44307.53125</v>
      </c>
      <c r="I1454" s="1">
        <v>44307.666666666664</v>
      </c>
      <c r="J1454" s="4">
        <f t="shared" si="22"/>
        <v>0.13541666666424135</v>
      </c>
      <c r="K1454" t="s">
        <v>195</v>
      </c>
      <c r="M1454">
        <v>2</v>
      </c>
      <c r="N1454" s="6">
        <v>0</v>
      </c>
      <c r="Q1454" s="2" t="s">
        <v>19</v>
      </c>
    </row>
    <row r="1455" spans="1:17" ht="68" x14ac:dyDescent="0.2">
      <c r="A1455" t="s">
        <v>189</v>
      </c>
      <c r="B1455" t="s">
        <v>138</v>
      </c>
      <c r="C1455" t="s">
        <v>16</v>
      </c>
      <c r="D1455" s="3">
        <v>44308</v>
      </c>
      <c r="E1455" s="1">
        <v>44308.499398148146</v>
      </c>
      <c r="F1455" t="s">
        <v>17</v>
      </c>
      <c r="G1455" t="s">
        <v>55</v>
      </c>
      <c r="H1455" s="1">
        <v>44308.375</v>
      </c>
      <c r="I1455" s="1">
        <v>44308.510416666664</v>
      </c>
      <c r="J1455" s="4">
        <f t="shared" si="22"/>
        <v>0.13541666666424135</v>
      </c>
      <c r="K1455" t="s">
        <v>200</v>
      </c>
      <c r="M1455">
        <v>0</v>
      </c>
      <c r="N1455" s="6">
        <v>0</v>
      </c>
      <c r="Q1455" s="2" t="s">
        <v>19</v>
      </c>
    </row>
    <row r="1456" spans="1:17" ht="68" x14ac:dyDescent="0.2">
      <c r="A1456" t="s">
        <v>189</v>
      </c>
      <c r="B1456" t="s">
        <v>138</v>
      </c>
      <c r="C1456" t="s">
        <v>16</v>
      </c>
      <c r="D1456" s="3">
        <v>44308</v>
      </c>
      <c r="E1456" s="1">
        <v>44308.664571759262</v>
      </c>
      <c r="F1456" t="s">
        <v>17</v>
      </c>
      <c r="G1456" t="s">
        <v>56</v>
      </c>
      <c r="H1456" s="1">
        <v>44308.541666666664</v>
      </c>
      <c r="I1456" s="1">
        <v>44308.666666666664</v>
      </c>
      <c r="J1456" s="4">
        <f t="shared" si="22"/>
        <v>0.125</v>
      </c>
      <c r="K1456" t="s">
        <v>192</v>
      </c>
      <c r="M1456">
        <v>0</v>
      </c>
      <c r="N1456" s="6">
        <v>0</v>
      </c>
      <c r="Q1456" s="2" t="s">
        <v>19</v>
      </c>
    </row>
    <row r="1457" spans="1:17" ht="68" x14ac:dyDescent="0.2">
      <c r="A1457" t="s">
        <v>189</v>
      </c>
      <c r="B1457" t="s">
        <v>138</v>
      </c>
      <c r="C1457" t="s">
        <v>16</v>
      </c>
      <c r="D1457" s="3">
        <v>44312</v>
      </c>
      <c r="E1457" s="1">
        <v>44312.509293981479</v>
      </c>
      <c r="F1457" t="s">
        <v>17</v>
      </c>
      <c r="G1457" t="s">
        <v>44</v>
      </c>
      <c r="H1457" s="1">
        <v>44312.375</v>
      </c>
      <c r="I1457" s="1">
        <v>44312.510416666664</v>
      </c>
      <c r="J1457" s="4">
        <f t="shared" si="22"/>
        <v>0.13541666666424135</v>
      </c>
      <c r="K1457" t="s">
        <v>201</v>
      </c>
      <c r="M1457">
        <v>3</v>
      </c>
      <c r="N1457" s="6">
        <v>0</v>
      </c>
      <c r="Q1457" s="2" t="s">
        <v>19</v>
      </c>
    </row>
    <row r="1458" spans="1:17" ht="68" x14ac:dyDescent="0.2">
      <c r="A1458" t="s">
        <v>189</v>
      </c>
      <c r="B1458" t="s">
        <v>138</v>
      </c>
      <c r="C1458" t="s">
        <v>16</v>
      </c>
      <c r="D1458" s="3">
        <v>44312</v>
      </c>
      <c r="E1458" s="1">
        <v>44312.650393518517</v>
      </c>
      <c r="F1458" t="s">
        <v>17</v>
      </c>
      <c r="G1458" t="s">
        <v>57</v>
      </c>
      <c r="H1458" s="1">
        <v>44312.53125</v>
      </c>
      <c r="I1458" s="1">
        <v>44312.666666666664</v>
      </c>
      <c r="J1458" s="4">
        <f t="shared" si="22"/>
        <v>0.13541666666424135</v>
      </c>
      <c r="K1458" t="s">
        <v>195</v>
      </c>
      <c r="M1458">
        <v>1</v>
      </c>
      <c r="N1458" s="6">
        <v>0</v>
      </c>
      <c r="Q1458" s="2" t="s">
        <v>19</v>
      </c>
    </row>
    <row r="1459" spans="1:17" ht="68" x14ac:dyDescent="0.2">
      <c r="A1459" t="s">
        <v>189</v>
      </c>
      <c r="B1459" t="s">
        <v>138</v>
      </c>
      <c r="C1459" t="s">
        <v>16</v>
      </c>
      <c r="D1459" s="3">
        <v>44313</v>
      </c>
      <c r="E1459" s="1">
        <v>44313.487881944442</v>
      </c>
      <c r="F1459" t="s">
        <v>17</v>
      </c>
      <c r="G1459" t="s">
        <v>55</v>
      </c>
      <c r="H1459" s="1">
        <v>44313.375</v>
      </c>
      <c r="I1459" s="1">
        <v>44313.489583333336</v>
      </c>
      <c r="J1459" s="4">
        <f t="shared" si="22"/>
        <v>0.11458333333575865</v>
      </c>
      <c r="K1459" t="s">
        <v>200</v>
      </c>
      <c r="M1459">
        <v>9</v>
      </c>
      <c r="N1459" s="6">
        <v>0</v>
      </c>
      <c r="Q1459" s="2" t="s">
        <v>19</v>
      </c>
    </row>
    <row r="1460" spans="1:17" ht="68" x14ac:dyDescent="0.2">
      <c r="A1460" t="s">
        <v>189</v>
      </c>
      <c r="B1460" t="s">
        <v>138</v>
      </c>
      <c r="C1460" t="s">
        <v>16</v>
      </c>
      <c r="D1460" s="3">
        <v>44313</v>
      </c>
      <c r="E1460" s="1">
        <v>44313.539571759262</v>
      </c>
      <c r="F1460" t="s">
        <v>17</v>
      </c>
      <c r="G1460" t="s">
        <v>37</v>
      </c>
      <c r="H1460" s="1">
        <v>44313.53125</v>
      </c>
      <c r="I1460" s="1">
        <v>44313.541666666664</v>
      </c>
      <c r="J1460" s="4">
        <f t="shared" si="22"/>
        <v>1.0416666664241347E-2</v>
      </c>
      <c r="K1460" t="s">
        <v>202</v>
      </c>
      <c r="M1460">
        <v>0</v>
      </c>
      <c r="N1460" s="6">
        <v>0</v>
      </c>
      <c r="Q1460" s="2" t="s">
        <v>19</v>
      </c>
    </row>
    <row r="1461" spans="1:17" ht="68" x14ac:dyDescent="0.2">
      <c r="A1461" t="s">
        <v>189</v>
      </c>
      <c r="B1461" t="s">
        <v>138</v>
      </c>
      <c r="C1461" t="s">
        <v>16</v>
      </c>
      <c r="D1461" s="3">
        <v>44313</v>
      </c>
      <c r="E1461" s="1">
        <v>44313.664780092593</v>
      </c>
      <c r="F1461" t="s">
        <v>17</v>
      </c>
      <c r="G1461" t="s">
        <v>58</v>
      </c>
      <c r="H1461" s="1">
        <v>44313.541666666664</v>
      </c>
      <c r="I1461" s="1">
        <v>44313.666666666664</v>
      </c>
      <c r="J1461" s="4">
        <f t="shared" si="22"/>
        <v>0.125</v>
      </c>
      <c r="K1461" t="s">
        <v>192</v>
      </c>
      <c r="M1461">
        <v>0</v>
      </c>
      <c r="N1461" s="6">
        <v>0</v>
      </c>
      <c r="Q1461" s="2" t="s">
        <v>19</v>
      </c>
    </row>
    <row r="1462" spans="1:17" ht="68" x14ac:dyDescent="0.2">
      <c r="A1462" t="s">
        <v>189</v>
      </c>
      <c r="B1462" t="s">
        <v>138</v>
      </c>
      <c r="C1462" t="s">
        <v>16</v>
      </c>
      <c r="D1462" s="3">
        <v>44314</v>
      </c>
      <c r="E1462" s="1">
        <v>44314.491770833331</v>
      </c>
      <c r="F1462" t="s">
        <v>17</v>
      </c>
      <c r="G1462" t="s">
        <v>53</v>
      </c>
      <c r="H1462" s="1">
        <v>44314.375</v>
      </c>
      <c r="I1462" s="1">
        <v>44314.489583333336</v>
      </c>
      <c r="J1462" s="4">
        <f t="shared" si="22"/>
        <v>0.11458333333575865</v>
      </c>
      <c r="K1462" t="s">
        <v>203</v>
      </c>
      <c r="M1462">
        <v>3</v>
      </c>
      <c r="N1462" s="6">
        <v>0</v>
      </c>
      <c r="Q1462" s="2" t="s">
        <v>19</v>
      </c>
    </row>
    <row r="1463" spans="1:17" ht="68" x14ac:dyDescent="0.2">
      <c r="A1463" t="s">
        <v>189</v>
      </c>
      <c r="B1463" t="s">
        <v>138</v>
      </c>
      <c r="C1463" t="s">
        <v>16</v>
      </c>
      <c r="D1463" s="3">
        <v>44314</v>
      </c>
      <c r="E1463" s="1">
        <v>44314.652789351851</v>
      </c>
      <c r="F1463" t="s">
        <v>17</v>
      </c>
      <c r="G1463" t="s">
        <v>59</v>
      </c>
      <c r="H1463" s="1">
        <v>44314.53125</v>
      </c>
      <c r="I1463" s="1">
        <v>44314.666666666664</v>
      </c>
      <c r="J1463" s="4">
        <f t="shared" si="22"/>
        <v>0.13541666666424135</v>
      </c>
      <c r="K1463" t="s">
        <v>195</v>
      </c>
      <c r="M1463">
        <v>0</v>
      </c>
      <c r="N1463" s="6">
        <v>0</v>
      </c>
      <c r="Q1463" s="2" t="s">
        <v>19</v>
      </c>
    </row>
    <row r="1464" spans="1:17" ht="68" x14ac:dyDescent="0.2">
      <c r="A1464" t="s">
        <v>189</v>
      </c>
      <c r="B1464" t="s">
        <v>138</v>
      </c>
      <c r="C1464" t="s">
        <v>16</v>
      </c>
      <c r="D1464" s="3">
        <v>44315</v>
      </c>
      <c r="E1464" s="1">
        <v>44315.486192129632</v>
      </c>
      <c r="F1464" t="s">
        <v>17</v>
      </c>
      <c r="G1464" t="s">
        <v>43</v>
      </c>
      <c r="H1464" s="1">
        <v>44315.375</v>
      </c>
      <c r="I1464" s="1">
        <v>44315.489583333336</v>
      </c>
      <c r="J1464" s="4">
        <f t="shared" si="22"/>
        <v>0.11458333333575865</v>
      </c>
      <c r="K1464" t="s">
        <v>200</v>
      </c>
      <c r="M1464">
        <v>1</v>
      </c>
      <c r="N1464" s="6">
        <v>0</v>
      </c>
      <c r="Q1464" s="2" t="s">
        <v>19</v>
      </c>
    </row>
    <row r="1465" spans="1:17" ht="68" x14ac:dyDescent="0.2">
      <c r="A1465" t="s">
        <v>189</v>
      </c>
      <c r="B1465" t="s">
        <v>138</v>
      </c>
      <c r="C1465" t="s">
        <v>16</v>
      </c>
      <c r="D1465" s="3">
        <v>44315</v>
      </c>
      <c r="E1465" s="1">
        <v>44315.542523148149</v>
      </c>
      <c r="F1465" t="s">
        <v>17</v>
      </c>
      <c r="G1465" t="s">
        <v>35</v>
      </c>
      <c r="H1465" s="1">
        <v>44315.53125</v>
      </c>
      <c r="I1465" s="1">
        <v>44315.541666666664</v>
      </c>
      <c r="J1465" s="4">
        <f t="shared" si="22"/>
        <v>1.0416666664241347E-2</v>
      </c>
      <c r="K1465" t="s">
        <v>202</v>
      </c>
      <c r="M1465">
        <v>0</v>
      </c>
      <c r="N1465" s="6">
        <v>0</v>
      </c>
      <c r="Q1465" s="2" t="s">
        <v>19</v>
      </c>
    </row>
    <row r="1466" spans="1:17" ht="68" x14ac:dyDescent="0.2">
      <c r="A1466" t="s">
        <v>189</v>
      </c>
      <c r="B1466" t="s">
        <v>138</v>
      </c>
      <c r="C1466" t="s">
        <v>16</v>
      </c>
      <c r="D1466" s="3">
        <v>44315</v>
      </c>
      <c r="E1466" s="1">
        <v>44315.669571759259</v>
      </c>
      <c r="F1466" t="s">
        <v>17</v>
      </c>
      <c r="G1466" t="s">
        <v>60</v>
      </c>
      <c r="H1466" s="1">
        <v>44315.541666666664</v>
      </c>
      <c r="I1466" s="1">
        <v>44315.666666666664</v>
      </c>
      <c r="J1466" s="4">
        <f t="shared" si="22"/>
        <v>0.125</v>
      </c>
      <c r="K1466" t="s">
        <v>192</v>
      </c>
      <c r="M1466">
        <v>0</v>
      </c>
      <c r="N1466" s="6">
        <v>0</v>
      </c>
      <c r="Q1466" s="2" t="s">
        <v>19</v>
      </c>
    </row>
    <row r="1467" spans="1:17" ht="68" x14ac:dyDescent="0.2">
      <c r="A1467" t="s">
        <v>189</v>
      </c>
      <c r="B1467" t="s">
        <v>138</v>
      </c>
      <c r="C1467" t="s">
        <v>16</v>
      </c>
      <c r="D1467" s="3">
        <v>44316</v>
      </c>
      <c r="E1467" s="1">
        <v>44316.502164351848</v>
      </c>
      <c r="F1467" t="s">
        <v>17</v>
      </c>
      <c r="G1467" t="s">
        <v>61</v>
      </c>
      <c r="H1467" s="1">
        <v>44316.375</v>
      </c>
      <c r="I1467" s="1">
        <v>44316.489583333336</v>
      </c>
      <c r="J1467" s="4">
        <f t="shared" si="22"/>
        <v>0.11458333333575865</v>
      </c>
      <c r="K1467" t="s">
        <v>204</v>
      </c>
      <c r="M1467">
        <v>0</v>
      </c>
      <c r="N1467" s="6">
        <v>0</v>
      </c>
      <c r="Q1467" s="2" t="s">
        <v>19</v>
      </c>
    </row>
    <row r="1468" spans="1:17" ht="68" x14ac:dyDescent="0.2">
      <c r="A1468" t="s">
        <v>189</v>
      </c>
      <c r="B1468" t="s">
        <v>138</v>
      </c>
      <c r="C1468" t="s">
        <v>16</v>
      </c>
      <c r="D1468" s="3">
        <v>44316</v>
      </c>
      <c r="E1468" s="1">
        <v>44316.61681712963</v>
      </c>
      <c r="F1468" t="s">
        <v>17</v>
      </c>
      <c r="G1468" t="s">
        <v>62</v>
      </c>
      <c r="H1468" s="1">
        <v>44316.510416666664</v>
      </c>
      <c r="I1468" s="1">
        <v>44316.65625</v>
      </c>
      <c r="J1468" s="4">
        <f t="shared" si="22"/>
        <v>0.14583333333575865</v>
      </c>
      <c r="K1468" t="s">
        <v>195</v>
      </c>
      <c r="M1468">
        <v>2</v>
      </c>
      <c r="N1468" s="6">
        <v>0</v>
      </c>
      <c r="Q1468" s="2" t="s">
        <v>19</v>
      </c>
    </row>
    <row r="1469" spans="1:17" ht="68" x14ac:dyDescent="0.2">
      <c r="A1469" t="s">
        <v>189</v>
      </c>
      <c r="B1469" t="s">
        <v>138</v>
      </c>
      <c r="C1469" t="s">
        <v>16</v>
      </c>
      <c r="D1469" s="3">
        <v>44319</v>
      </c>
      <c r="E1469" s="1">
        <v>44319.483923611115</v>
      </c>
      <c r="F1469" t="s">
        <v>17</v>
      </c>
      <c r="G1469" t="s">
        <v>63</v>
      </c>
      <c r="H1469" s="1">
        <v>44319.385416666664</v>
      </c>
      <c r="I1469" s="1">
        <v>44319.489583333336</v>
      </c>
      <c r="J1469" s="4">
        <f t="shared" si="22"/>
        <v>0.10416666667151731</v>
      </c>
      <c r="K1469" t="s">
        <v>199</v>
      </c>
      <c r="M1469">
        <v>0</v>
      </c>
      <c r="N1469" s="6">
        <v>0</v>
      </c>
      <c r="Q1469" s="2" t="s">
        <v>19</v>
      </c>
    </row>
    <row r="1470" spans="1:17" ht="68" x14ac:dyDescent="0.2">
      <c r="A1470" t="s">
        <v>189</v>
      </c>
      <c r="B1470" t="s">
        <v>138</v>
      </c>
      <c r="C1470" t="s">
        <v>16</v>
      </c>
      <c r="D1470" s="3">
        <v>44319</v>
      </c>
      <c r="E1470" s="1">
        <v>44319.654918981483</v>
      </c>
      <c r="F1470" t="s">
        <v>17</v>
      </c>
      <c r="G1470" t="s">
        <v>45</v>
      </c>
      <c r="H1470" s="1">
        <v>44319.53125</v>
      </c>
      <c r="I1470" s="1">
        <v>44319.666666666664</v>
      </c>
      <c r="J1470" s="4">
        <f t="shared" si="22"/>
        <v>0.13541666666424135</v>
      </c>
      <c r="K1470" t="s">
        <v>195</v>
      </c>
      <c r="M1470">
        <v>1</v>
      </c>
      <c r="N1470" s="6">
        <v>0</v>
      </c>
      <c r="Q1470" s="2" t="s">
        <v>19</v>
      </c>
    </row>
    <row r="1471" spans="1:17" ht="68" x14ac:dyDescent="0.2">
      <c r="A1471" t="s">
        <v>189</v>
      </c>
      <c r="B1471" t="s">
        <v>138</v>
      </c>
      <c r="C1471" t="s">
        <v>16</v>
      </c>
      <c r="D1471" s="3">
        <v>44320</v>
      </c>
      <c r="E1471" s="1">
        <v>44320.487164351849</v>
      </c>
      <c r="F1471" t="s">
        <v>17</v>
      </c>
      <c r="G1471" t="s">
        <v>64</v>
      </c>
      <c r="H1471" s="1">
        <v>44320.380555555559</v>
      </c>
      <c r="I1471" s="1">
        <v>44320.492361111108</v>
      </c>
      <c r="J1471" s="4">
        <f t="shared" si="22"/>
        <v>0.11180555554892635</v>
      </c>
      <c r="K1471" t="s">
        <v>205</v>
      </c>
      <c r="M1471">
        <v>1</v>
      </c>
      <c r="N1471" s="6">
        <v>0</v>
      </c>
      <c r="Q1471" s="2" t="s">
        <v>19</v>
      </c>
    </row>
    <row r="1472" spans="1:17" ht="68" x14ac:dyDescent="0.2">
      <c r="A1472" t="s">
        <v>189</v>
      </c>
      <c r="B1472" t="s">
        <v>138</v>
      </c>
      <c r="C1472" t="s">
        <v>16</v>
      </c>
      <c r="D1472" s="3">
        <v>44321</v>
      </c>
      <c r="E1472" s="1">
        <v>44321.64503472222</v>
      </c>
      <c r="F1472" t="s">
        <v>17</v>
      </c>
      <c r="G1472" t="s">
        <v>66</v>
      </c>
      <c r="H1472" s="1">
        <v>44321.510416666664</v>
      </c>
      <c r="I1472" s="1">
        <v>44321.666666666664</v>
      </c>
      <c r="J1472" s="4">
        <f t="shared" si="22"/>
        <v>0.15625</v>
      </c>
      <c r="K1472" t="s">
        <v>195</v>
      </c>
      <c r="M1472">
        <v>12</v>
      </c>
      <c r="N1472" s="6">
        <v>0</v>
      </c>
      <c r="Q1472" s="2" t="s">
        <v>19</v>
      </c>
    </row>
    <row r="1473" spans="1:17" ht="68" x14ac:dyDescent="0.2">
      <c r="A1473" t="s">
        <v>189</v>
      </c>
      <c r="B1473" t="s">
        <v>138</v>
      </c>
      <c r="C1473" t="s">
        <v>16</v>
      </c>
      <c r="D1473" s="3">
        <v>44323</v>
      </c>
      <c r="E1473" s="1">
        <v>44323.488275462965</v>
      </c>
      <c r="F1473" t="s">
        <v>17</v>
      </c>
      <c r="G1473" t="s">
        <v>61</v>
      </c>
      <c r="H1473" s="1">
        <v>44323.375</v>
      </c>
      <c r="I1473" s="1">
        <v>44323.489583333336</v>
      </c>
      <c r="J1473" s="4">
        <f t="shared" si="22"/>
        <v>0.11458333333575865</v>
      </c>
      <c r="K1473" t="s">
        <v>206</v>
      </c>
      <c r="M1473">
        <v>3</v>
      </c>
      <c r="N1473" s="6">
        <v>0</v>
      </c>
      <c r="Q1473" s="2" t="s">
        <v>19</v>
      </c>
    </row>
    <row r="1474" spans="1:17" ht="68" x14ac:dyDescent="0.2">
      <c r="A1474" t="s">
        <v>189</v>
      </c>
      <c r="B1474" t="s">
        <v>138</v>
      </c>
      <c r="C1474" t="s">
        <v>16</v>
      </c>
      <c r="D1474" s="3">
        <v>44326</v>
      </c>
      <c r="E1474" s="1">
        <v>44326.489583333336</v>
      </c>
      <c r="F1474" t="s">
        <v>17</v>
      </c>
      <c r="G1474" t="s">
        <v>63</v>
      </c>
      <c r="H1474" s="1">
        <v>44326.375</v>
      </c>
      <c r="I1474" s="1">
        <v>44326.489583333336</v>
      </c>
      <c r="J1474" s="4">
        <f t="shared" si="22"/>
        <v>0.11458333333575865</v>
      </c>
      <c r="K1474" t="s">
        <v>199</v>
      </c>
      <c r="M1474">
        <v>0</v>
      </c>
      <c r="N1474" s="6">
        <v>0</v>
      </c>
      <c r="Q1474" s="2" t="s">
        <v>19</v>
      </c>
    </row>
    <row r="1475" spans="1:17" ht="68" x14ac:dyDescent="0.2">
      <c r="A1475" t="s">
        <v>189</v>
      </c>
      <c r="B1475" t="s">
        <v>138</v>
      </c>
      <c r="C1475" t="s">
        <v>16</v>
      </c>
      <c r="D1475" s="3">
        <v>44326</v>
      </c>
      <c r="E1475" s="1">
        <v>44326.648796296293</v>
      </c>
      <c r="F1475" t="s">
        <v>17</v>
      </c>
      <c r="G1475" t="s">
        <v>59</v>
      </c>
      <c r="H1475" s="1">
        <v>44326.53125</v>
      </c>
      <c r="I1475" s="1">
        <v>44326.666666666664</v>
      </c>
      <c r="J1475" s="4">
        <f t="shared" ref="J1475:J1538" si="23">IF($I1475="","",$I1475-$H1475)</f>
        <v>0.13541666666424135</v>
      </c>
      <c r="K1475" t="s">
        <v>195</v>
      </c>
      <c r="M1475">
        <v>1</v>
      </c>
      <c r="N1475" s="6">
        <v>0</v>
      </c>
      <c r="Q1475" s="2" t="s">
        <v>19</v>
      </c>
    </row>
    <row r="1476" spans="1:17" ht="68" x14ac:dyDescent="0.2">
      <c r="A1476" t="s">
        <v>189</v>
      </c>
      <c r="B1476" t="s">
        <v>138</v>
      </c>
      <c r="C1476" t="s">
        <v>16</v>
      </c>
      <c r="D1476" s="3">
        <v>44327</v>
      </c>
      <c r="E1476" s="1">
        <v>44327.422222222223</v>
      </c>
      <c r="F1476" t="s">
        <v>17</v>
      </c>
      <c r="G1476" t="s">
        <v>39</v>
      </c>
      <c r="H1476" s="1">
        <v>44327.375</v>
      </c>
      <c r="I1476" s="1">
        <v>44327.489583333336</v>
      </c>
      <c r="J1476" s="4">
        <f t="shared" si="23"/>
        <v>0.11458333333575865</v>
      </c>
      <c r="K1476" t="s">
        <v>190</v>
      </c>
      <c r="M1476">
        <v>4</v>
      </c>
      <c r="N1476" s="6">
        <v>0</v>
      </c>
      <c r="Q1476" s="2" t="s">
        <v>19</v>
      </c>
    </row>
    <row r="1477" spans="1:17" ht="68" x14ac:dyDescent="0.2">
      <c r="A1477" t="s">
        <v>189</v>
      </c>
      <c r="B1477" t="s">
        <v>138</v>
      </c>
      <c r="C1477" t="s">
        <v>16</v>
      </c>
      <c r="D1477" s="3">
        <v>44327</v>
      </c>
      <c r="E1477" s="1">
        <v>44327.861168981479</v>
      </c>
      <c r="F1477" t="s">
        <v>17</v>
      </c>
      <c r="G1477" t="s">
        <v>68</v>
      </c>
      <c r="H1477" s="1">
        <v>44327.541666666664</v>
      </c>
      <c r="I1477" s="1">
        <v>44327.583333333336</v>
      </c>
      <c r="J1477" s="4">
        <f t="shared" si="23"/>
        <v>4.1666666671517305E-2</v>
      </c>
      <c r="K1477" t="s">
        <v>192</v>
      </c>
      <c r="M1477">
        <v>0</v>
      </c>
      <c r="N1477" s="6">
        <v>0</v>
      </c>
      <c r="Q1477" s="2" t="s">
        <v>19</v>
      </c>
    </row>
    <row r="1478" spans="1:17" ht="68" x14ac:dyDescent="0.2">
      <c r="A1478" t="s">
        <v>189</v>
      </c>
      <c r="B1478" t="s">
        <v>138</v>
      </c>
      <c r="C1478" t="s">
        <v>16</v>
      </c>
      <c r="D1478" s="3">
        <v>44328</v>
      </c>
      <c r="E1478" s="1">
        <v>44328.65693287037</v>
      </c>
      <c r="F1478" t="s">
        <v>17</v>
      </c>
      <c r="G1478" t="s">
        <v>45</v>
      </c>
      <c r="H1478" s="1">
        <v>44328.53125</v>
      </c>
      <c r="I1478" s="1">
        <v>44328.666666666664</v>
      </c>
      <c r="J1478" s="4">
        <f t="shared" si="23"/>
        <v>0.13541666666424135</v>
      </c>
      <c r="K1478" t="s">
        <v>195</v>
      </c>
      <c r="M1478">
        <v>0</v>
      </c>
      <c r="N1478" s="6">
        <v>0</v>
      </c>
      <c r="Q1478" s="2" t="s">
        <v>19</v>
      </c>
    </row>
    <row r="1479" spans="1:17" ht="68" x14ac:dyDescent="0.2">
      <c r="A1479" t="s">
        <v>189</v>
      </c>
      <c r="B1479" t="s">
        <v>138</v>
      </c>
      <c r="C1479" t="s">
        <v>16</v>
      </c>
      <c r="D1479" s="3">
        <v>44334</v>
      </c>
      <c r="E1479" s="1">
        <v>44334.486712962964</v>
      </c>
      <c r="F1479" t="s">
        <v>17</v>
      </c>
      <c r="G1479" t="s">
        <v>55</v>
      </c>
      <c r="H1479" s="1">
        <v>44334.375</v>
      </c>
      <c r="I1479" s="1">
        <v>44334.489583333336</v>
      </c>
      <c r="J1479" s="4">
        <f t="shared" si="23"/>
        <v>0.11458333333575865</v>
      </c>
      <c r="K1479" t="s">
        <v>200</v>
      </c>
      <c r="M1479">
        <v>1</v>
      </c>
      <c r="N1479" s="6">
        <v>0</v>
      </c>
      <c r="Q1479" s="2" t="s">
        <v>19</v>
      </c>
    </row>
    <row r="1480" spans="1:17" ht="68" x14ac:dyDescent="0.2">
      <c r="A1480" t="s">
        <v>189</v>
      </c>
      <c r="B1480" t="s">
        <v>138</v>
      </c>
      <c r="C1480" t="s">
        <v>16</v>
      </c>
      <c r="D1480" s="3">
        <v>44334</v>
      </c>
      <c r="E1480" s="1">
        <v>44334.565532407411</v>
      </c>
      <c r="F1480" t="s">
        <v>17</v>
      </c>
      <c r="G1480" t="s">
        <v>69</v>
      </c>
      <c r="H1480" s="1">
        <v>44334.541666666664</v>
      </c>
      <c r="I1480" s="1">
        <v>44334.666666666664</v>
      </c>
      <c r="J1480" s="4">
        <f t="shared" si="23"/>
        <v>0.125</v>
      </c>
      <c r="K1480" t="s">
        <v>192</v>
      </c>
      <c r="M1480">
        <v>2</v>
      </c>
      <c r="N1480" s="6">
        <v>0</v>
      </c>
      <c r="Q1480" s="2" t="s">
        <v>19</v>
      </c>
    </row>
    <row r="1481" spans="1:17" ht="68" x14ac:dyDescent="0.2">
      <c r="A1481" t="s">
        <v>189</v>
      </c>
      <c r="B1481" t="s">
        <v>138</v>
      </c>
      <c r="C1481" t="s">
        <v>16</v>
      </c>
      <c r="D1481" s="3">
        <v>44335</v>
      </c>
      <c r="E1481" s="1">
        <v>44335.661759259259</v>
      </c>
      <c r="F1481" t="s">
        <v>17</v>
      </c>
      <c r="G1481" t="s">
        <v>70</v>
      </c>
      <c r="H1481" s="1">
        <v>44335.53125</v>
      </c>
      <c r="I1481" s="1">
        <v>44335.65625</v>
      </c>
      <c r="J1481" s="4">
        <f t="shared" si="23"/>
        <v>0.125</v>
      </c>
      <c r="K1481" t="s">
        <v>200</v>
      </c>
      <c r="M1481">
        <v>0</v>
      </c>
      <c r="N1481" s="6">
        <v>0</v>
      </c>
      <c r="Q1481" s="2" t="s">
        <v>19</v>
      </c>
    </row>
    <row r="1482" spans="1:17" ht="68" x14ac:dyDescent="0.2">
      <c r="A1482" t="s">
        <v>189</v>
      </c>
      <c r="B1482" t="s">
        <v>138</v>
      </c>
      <c r="C1482" t="s">
        <v>16</v>
      </c>
      <c r="D1482" s="3">
        <v>44336</v>
      </c>
      <c r="E1482" s="1">
        <v>44336.488645833335</v>
      </c>
      <c r="F1482" t="s">
        <v>17</v>
      </c>
      <c r="G1482" t="s">
        <v>52</v>
      </c>
      <c r="H1482" s="1">
        <v>44336.375</v>
      </c>
      <c r="I1482" s="1">
        <v>44336.489583333336</v>
      </c>
      <c r="J1482" s="4">
        <f t="shared" si="23"/>
        <v>0.11458333333575865</v>
      </c>
      <c r="K1482" t="s">
        <v>200</v>
      </c>
      <c r="M1482">
        <v>2</v>
      </c>
      <c r="N1482" s="6">
        <v>0</v>
      </c>
      <c r="Q1482" s="2" t="s">
        <v>19</v>
      </c>
    </row>
    <row r="1483" spans="1:17" ht="68" x14ac:dyDescent="0.2">
      <c r="A1483" t="s">
        <v>189</v>
      </c>
      <c r="B1483" t="s">
        <v>138</v>
      </c>
      <c r="C1483" t="s">
        <v>16</v>
      </c>
      <c r="D1483" s="3">
        <v>44336</v>
      </c>
      <c r="E1483" s="1">
        <v>44336.630636574075</v>
      </c>
      <c r="F1483" t="s">
        <v>17</v>
      </c>
      <c r="G1483" t="s">
        <v>59</v>
      </c>
      <c r="H1483" s="1">
        <v>44336.53125</v>
      </c>
      <c r="I1483" s="1">
        <v>44336.65625</v>
      </c>
      <c r="J1483" s="4">
        <f t="shared" si="23"/>
        <v>0.125</v>
      </c>
      <c r="K1483" t="s">
        <v>192</v>
      </c>
      <c r="M1483">
        <v>2</v>
      </c>
      <c r="N1483" s="6">
        <v>0</v>
      </c>
      <c r="Q1483" s="2" t="s">
        <v>19</v>
      </c>
    </row>
    <row r="1484" spans="1:17" ht="68" x14ac:dyDescent="0.2">
      <c r="A1484" t="s">
        <v>189</v>
      </c>
      <c r="B1484" t="s">
        <v>138</v>
      </c>
      <c r="C1484" t="s">
        <v>16</v>
      </c>
      <c r="D1484" s="3">
        <v>44337</v>
      </c>
      <c r="E1484" s="1">
        <v>44337.485659722224</v>
      </c>
      <c r="F1484" t="s">
        <v>17</v>
      </c>
      <c r="G1484" t="s">
        <v>44</v>
      </c>
      <c r="H1484" s="1">
        <v>44337.375</v>
      </c>
      <c r="I1484" s="1">
        <v>44337.489583333336</v>
      </c>
      <c r="J1484" s="4">
        <f t="shared" si="23"/>
        <v>0.11458333333575865</v>
      </c>
      <c r="K1484" t="s">
        <v>199</v>
      </c>
      <c r="M1484">
        <v>0</v>
      </c>
      <c r="N1484" s="6">
        <v>0</v>
      </c>
      <c r="Q1484" s="2" t="s">
        <v>19</v>
      </c>
    </row>
    <row r="1485" spans="1:17" ht="68" x14ac:dyDescent="0.2">
      <c r="A1485" t="s">
        <v>189</v>
      </c>
      <c r="B1485" t="s">
        <v>138</v>
      </c>
      <c r="C1485" t="s">
        <v>16</v>
      </c>
      <c r="D1485" s="3">
        <v>44338</v>
      </c>
      <c r="E1485" s="1">
        <v>44338.493877314817</v>
      </c>
      <c r="F1485" t="s">
        <v>17</v>
      </c>
      <c r="G1485" t="s">
        <v>47</v>
      </c>
      <c r="H1485" s="1">
        <v>44338.375</v>
      </c>
      <c r="I1485" s="1">
        <v>44338.489583333336</v>
      </c>
      <c r="J1485" s="4">
        <f t="shared" si="23"/>
        <v>0.11458333333575865</v>
      </c>
      <c r="K1485" t="s">
        <v>209</v>
      </c>
      <c r="M1485">
        <v>0</v>
      </c>
      <c r="N1485" s="6">
        <v>0</v>
      </c>
      <c r="Q1485" s="2" t="s">
        <v>19</v>
      </c>
    </row>
    <row r="1486" spans="1:17" ht="68" x14ac:dyDescent="0.2">
      <c r="A1486" t="s">
        <v>189</v>
      </c>
      <c r="B1486" t="s">
        <v>138</v>
      </c>
      <c r="C1486" t="s">
        <v>16</v>
      </c>
      <c r="D1486" s="3">
        <v>44338</v>
      </c>
      <c r="E1486" s="1">
        <v>44338.548437500001</v>
      </c>
      <c r="F1486" t="s">
        <v>17</v>
      </c>
      <c r="G1486" t="s">
        <v>42</v>
      </c>
      <c r="H1486" s="1">
        <v>44338.53125</v>
      </c>
      <c r="I1486" s="1">
        <v>44338.645833333336</v>
      </c>
      <c r="J1486" s="4">
        <f t="shared" si="23"/>
        <v>0.11458333333575865</v>
      </c>
      <c r="K1486" t="s">
        <v>210</v>
      </c>
      <c r="M1486">
        <v>2</v>
      </c>
      <c r="N1486" s="6">
        <v>0</v>
      </c>
      <c r="Q1486" s="2" t="s">
        <v>19</v>
      </c>
    </row>
    <row r="1487" spans="1:17" ht="68" x14ac:dyDescent="0.2">
      <c r="A1487" t="s">
        <v>189</v>
      </c>
      <c r="B1487" t="s">
        <v>138</v>
      </c>
      <c r="C1487" t="s">
        <v>16</v>
      </c>
      <c r="D1487" s="3">
        <v>44340</v>
      </c>
      <c r="E1487" s="1">
        <v>44340.499328703707</v>
      </c>
      <c r="F1487" t="s">
        <v>17</v>
      </c>
      <c r="G1487" t="s">
        <v>71</v>
      </c>
      <c r="H1487" s="1">
        <v>44340.375</v>
      </c>
      <c r="I1487" s="1">
        <v>44340.489583333336</v>
      </c>
      <c r="J1487" s="4">
        <f t="shared" si="23"/>
        <v>0.11458333333575865</v>
      </c>
      <c r="K1487" t="s">
        <v>211</v>
      </c>
      <c r="M1487">
        <v>2</v>
      </c>
      <c r="N1487" s="6">
        <v>0</v>
      </c>
      <c r="Q1487" s="2" t="s">
        <v>19</v>
      </c>
    </row>
    <row r="1488" spans="1:17" ht="68" x14ac:dyDescent="0.2">
      <c r="A1488" t="s">
        <v>189</v>
      </c>
      <c r="B1488" t="s">
        <v>138</v>
      </c>
      <c r="C1488" t="s">
        <v>16</v>
      </c>
      <c r="D1488" s="3">
        <v>44340</v>
      </c>
      <c r="E1488" s="1">
        <v>44340.510914351849</v>
      </c>
      <c r="F1488" t="s">
        <v>17</v>
      </c>
      <c r="G1488" t="s">
        <v>71</v>
      </c>
      <c r="H1488" s="1">
        <v>44340.375</v>
      </c>
      <c r="I1488" s="1">
        <v>44340.489583333336</v>
      </c>
      <c r="J1488" s="4">
        <f t="shared" si="23"/>
        <v>0.11458333333575865</v>
      </c>
      <c r="K1488" t="s">
        <v>211</v>
      </c>
      <c r="M1488">
        <v>0</v>
      </c>
      <c r="N1488" s="5" t="s">
        <v>144</v>
      </c>
      <c r="Q1488" s="2" t="s">
        <v>19</v>
      </c>
    </row>
    <row r="1489" spans="1:17" ht="68" x14ac:dyDescent="0.2">
      <c r="A1489" t="s">
        <v>189</v>
      </c>
      <c r="B1489" t="s">
        <v>138</v>
      </c>
      <c r="C1489" t="s">
        <v>16</v>
      </c>
      <c r="D1489" s="3">
        <v>44340</v>
      </c>
      <c r="E1489" s="1">
        <v>44340.660567129627</v>
      </c>
      <c r="F1489" t="s">
        <v>17</v>
      </c>
      <c r="G1489" t="s">
        <v>56</v>
      </c>
      <c r="H1489" s="1">
        <v>44340.53125</v>
      </c>
      <c r="I1489" s="1">
        <v>44340.666666666664</v>
      </c>
      <c r="J1489" s="4">
        <f t="shared" si="23"/>
        <v>0.13541666666424135</v>
      </c>
      <c r="K1489" t="s">
        <v>200</v>
      </c>
      <c r="M1489">
        <v>0</v>
      </c>
      <c r="N1489" s="6">
        <v>0</v>
      </c>
      <c r="Q1489" s="2" t="s">
        <v>19</v>
      </c>
    </row>
    <row r="1490" spans="1:17" ht="68" x14ac:dyDescent="0.2">
      <c r="A1490" t="s">
        <v>189</v>
      </c>
      <c r="B1490" t="s">
        <v>138</v>
      </c>
      <c r="C1490" t="s">
        <v>16</v>
      </c>
      <c r="D1490" s="3">
        <v>44341</v>
      </c>
      <c r="E1490" s="1">
        <v>44341.48809027778</v>
      </c>
      <c r="F1490" t="s">
        <v>17</v>
      </c>
      <c r="G1490" t="s">
        <v>55</v>
      </c>
      <c r="H1490" s="1">
        <v>44341.383333333331</v>
      </c>
      <c r="I1490" s="1">
        <v>44341.404166666667</v>
      </c>
      <c r="J1490" s="4">
        <f t="shared" si="23"/>
        <v>2.0833333335758653E-2</v>
      </c>
      <c r="K1490" t="s">
        <v>200</v>
      </c>
      <c r="M1490">
        <v>0</v>
      </c>
      <c r="N1490" s="5" t="s">
        <v>144</v>
      </c>
      <c r="Q1490" s="2" t="s">
        <v>19</v>
      </c>
    </row>
    <row r="1491" spans="1:17" ht="68" x14ac:dyDescent="0.2">
      <c r="A1491" t="s">
        <v>189</v>
      </c>
      <c r="B1491" t="s">
        <v>138</v>
      </c>
      <c r="C1491" t="s">
        <v>16</v>
      </c>
      <c r="D1491" s="3">
        <v>44341</v>
      </c>
      <c r="E1491" s="1">
        <v>44341.590902777774</v>
      </c>
      <c r="F1491" t="s">
        <v>17</v>
      </c>
      <c r="G1491" t="s">
        <v>68</v>
      </c>
      <c r="H1491" s="1">
        <v>44341.541666666664</v>
      </c>
      <c r="I1491" s="1">
        <v>44341.666666666664</v>
      </c>
      <c r="J1491" s="4">
        <f t="shared" si="23"/>
        <v>0.125</v>
      </c>
      <c r="K1491" t="s">
        <v>192</v>
      </c>
      <c r="M1491">
        <v>1</v>
      </c>
      <c r="N1491" s="6">
        <v>0</v>
      </c>
      <c r="Q1491" s="2" t="s">
        <v>19</v>
      </c>
    </row>
    <row r="1492" spans="1:17" ht="68" x14ac:dyDescent="0.2">
      <c r="A1492" t="s">
        <v>189</v>
      </c>
      <c r="B1492" t="s">
        <v>138</v>
      </c>
      <c r="C1492" t="s">
        <v>16</v>
      </c>
      <c r="D1492" s="3">
        <v>44341</v>
      </c>
      <c r="E1492" s="1">
        <v>44341.660162037035</v>
      </c>
      <c r="F1492" t="s">
        <v>17</v>
      </c>
      <c r="G1492" t="s">
        <v>68</v>
      </c>
      <c r="H1492" s="1">
        <v>44341.541666666664</v>
      </c>
      <c r="I1492" s="1">
        <v>44341.666666666664</v>
      </c>
      <c r="J1492" s="4">
        <f t="shared" si="23"/>
        <v>0.125</v>
      </c>
      <c r="K1492" t="s">
        <v>192</v>
      </c>
      <c r="M1492">
        <v>0</v>
      </c>
      <c r="N1492" s="6">
        <v>0</v>
      </c>
      <c r="Q1492" s="2" t="s">
        <v>19</v>
      </c>
    </row>
    <row r="1493" spans="1:17" ht="68" x14ac:dyDescent="0.2">
      <c r="A1493" t="s">
        <v>189</v>
      </c>
      <c r="B1493" t="s">
        <v>138</v>
      </c>
      <c r="C1493" t="s">
        <v>16</v>
      </c>
      <c r="D1493" s="3">
        <v>44342</v>
      </c>
      <c r="E1493" s="1">
        <v>44342.493969907409</v>
      </c>
      <c r="F1493" t="s">
        <v>17</v>
      </c>
      <c r="G1493" t="s">
        <v>72</v>
      </c>
      <c r="H1493" s="1">
        <v>44342.375</v>
      </c>
      <c r="I1493" s="1">
        <v>44342.5</v>
      </c>
      <c r="J1493" s="4">
        <f t="shared" si="23"/>
        <v>0.125</v>
      </c>
      <c r="K1493" t="s">
        <v>212</v>
      </c>
      <c r="M1493">
        <v>0</v>
      </c>
      <c r="N1493" s="6">
        <v>0</v>
      </c>
      <c r="Q1493" s="2" t="s">
        <v>19</v>
      </c>
    </row>
    <row r="1494" spans="1:17" ht="68" x14ac:dyDescent="0.2">
      <c r="A1494" t="s">
        <v>189</v>
      </c>
      <c r="B1494" t="s">
        <v>138</v>
      </c>
      <c r="C1494" t="s">
        <v>16</v>
      </c>
      <c r="D1494" s="3">
        <v>44342</v>
      </c>
      <c r="E1494" s="1">
        <v>44342.660740740743</v>
      </c>
      <c r="F1494" t="s">
        <v>17</v>
      </c>
      <c r="G1494" t="s">
        <v>35</v>
      </c>
      <c r="H1494" s="1">
        <v>44342.53125</v>
      </c>
      <c r="I1494" s="1">
        <v>44342.666666666664</v>
      </c>
      <c r="J1494" s="4">
        <f t="shared" si="23"/>
        <v>0.13541666666424135</v>
      </c>
      <c r="K1494" t="s">
        <v>200</v>
      </c>
      <c r="M1494">
        <v>0</v>
      </c>
      <c r="N1494" s="6">
        <v>0</v>
      </c>
      <c r="Q1494" s="2" t="s">
        <v>19</v>
      </c>
    </row>
    <row r="1495" spans="1:17" ht="68" x14ac:dyDescent="0.2">
      <c r="A1495" t="s">
        <v>189</v>
      </c>
      <c r="B1495" t="s">
        <v>138</v>
      </c>
      <c r="C1495" t="s">
        <v>16</v>
      </c>
      <c r="D1495" s="3">
        <v>44343</v>
      </c>
      <c r="E1495" s="1">
        <v>44343.486805555556</v>
      </c>
      <c r="F1495" t="s">
        <v>17</v>
      </c>
      <c r="G1495" t="s">
        <v>73</v>
      </c>
      <c r="H1495" s="1">
        <v>44343.375</v>
      </c>
      <c r="I1495" s="1">
        <v>44343.489583333336</v>
      </c>
      <c r="J1495" s="4">
        <f t="shared" si="23"/>
        <v>0.11458333333575865</v>
      </c>
      <c r="K1495" t="s">
        <v>196</v>
      </c>
      <c r="M1495">
        <v>0</v>
      </c>
      <c r="N1495" s="6">
        <v>0</v>
      </c>
      <c r="Q1495" s="2" t="s">
        <v>19</v>
      </c>
    </row>
    <row r="1496" spans="1:17" ht="68" x14ac:dyDescent="0.2">
      <c r="A1496" t="s">
        <v>189</v>
      </c>
      <c r="B1496" t="s">
        <v>138</v>
      </c>
      <c r="C1496" t="s">
        <v>16</v>
      </c>
      <c r="D1496" s="3">
        <v>44344</v>
      </c>
      <c r="E1496" s="1">
        <v>44344.488402777781</v>
      </c>
      <c r="F1496" t="s">
        <v>17</v>
      </c>
      <c r="G1496" t="s">
        <v>53</v>
      </c>
      <c r="H1496" s="1">
        <v>44344.375</v>
      </c>
      <c r="I1496" s="1">
        <v>44344.489583333336</v>
      </c>
      <c r="J1496" s="4">
        <f t="shared" si="23"/>
        <v>0.11458333333575865</v>
      </c>
      <c r="K1496" t="s">
        <v>199</v>
      </c>
      <c r="M1496">
        <v>2</v>
      </c>
      <c r="N1496" s="6">
        <v>0</v>
      </c>
      <c r="Q1496" s="2" t="s">
        <v>19</v>
      </c>
    </row>
    <row r="1497" spans="1:17" ht="68" x14ac:dyDescent="0.2">
      <c r="A1497" t="s">
        <v>189</v>
      </c>
      <c r="B1497" t="s">
        <v>138</v>
      </c>
      <c r="C1497" t="s">
        <v>16</v>
      </c>
      <c r="D1497" s="3">
        <v>44344</v>
      </c>
      <c r="E1497" s="1">
        <v>44344.659629629627</v>
      </c>
      <c r="F1497" t="s">
        <v>17</v>
      </c>
      <c r="G1497" t="s">
        <v>106</v>
      </c>
      <c r="H1497" s="1">
        <v>44344.552083333336</v>
      </c>
      <c r="I1497" s="1">
        <v>44344.666666666664</v>
      </c>
      <c r="J1497" s="4">
        <f t="shared" si="23"/>
        <v>0.11458333332848269</v>
      </c>
      <c r="K1497" t="s">
        <v>221</v>
      </c>
      <c r="M1497">
        <v>0</v>
      </c>
      <c r="N1497" s="6">
        <v>0</v>
      </c>
      <c r="Q1497" s="2" t="s">
        <v>19</v>
      </c>
    </row>
    <row r="1498" spans="1:17" ht="68" x14ac:dyDescent="0.2">
      <c r="A1498" t="s">
        <v>189</v>
      </c>
      <c r="B1498" t="s">
        <v>138</v>
      </c>
      <c r="C1498" t="s">
        <v>16</v>
      </c>
      <c r="D1498" s="3">
        <v>44348</v>
      </c>
      <c r="E1498" s="1">
        <v>44348.490925925929</v>
      </c>
      <c r="F1498" t="s">
        <v>17</v>
      </c>
      <c r="G1498" t="s">
        <v>53</v>
      </c>
      <c r="H1498" s="1">
        <v>44348.378472222219</v>
      </c>
      <c r="I1498" s="1">
        <v>44348.490972222222</v>
      </c>
      <c r="J1498" s="4">
        <f t="shared" si="23"/>
        <v>0.11250000000291038</v>
      </c>
      <c r="K1498" t="s">
        <v>213</v>
      </c>
      <c r="M1498">
        <v>0</v>
      </c>
      <c r="N1498" s="5" t="s">
        <v>144</v>
      </c>
      <c r="Q1498" s="2" t="s">
        <v>19</v>
      </c>
    </row>
    <row r="1499" spans="1:17" ht="68" x14ac:dyDescent="0.2">
      <c r="A1499" t="s">
        <v>189</v>
      </c>
      <c r="B1499" t="s">
        <v>138</v>
      </c>
      <c r="C1499" t="s">
        <v>16</v>
      </c>
      <c r="D1499" s="3">
        <v>44348</v>
      </c>
      <c r="E1499" s="1">
        <v>44348.643900462965</v>
      </c>
      <c r="F1499" t="s">
        <v>17</v>
      </c>
      <c r="G1499" t="s">
        <v>74</v>
      </c>
      <c r="H1499" s="1">
        <v>44348.541666666664</v>
      </c>
      <c r="I1499" s="1">
        <v>44348.645833333336</v>
      </c>
      <c r="J1499" s="4">
        <f t="shared" si="23"/>
        <v>0.10416666667151731</v>
      </c>
      <c r="K1499" t="s">
        <v>192</v>
      </c>
      <c r="M1499">
        <v>0</v>
      </c>
      <c r="N1499" s="6">
        <v>0</v>
      </c>
      <c r="Q1499" s="2" t="s">
        <v>19</v>
      </c>
    </row>
    <row r="1500" spans="1:17" ht="68" x14ac:dyDescent="0.2">
      <c r="A1500" t="s">
        <v>189</v>
      </c>
      <c r="B1500" t="s">
        <v>138</v>
      </c>
      <c r="C1500" t="s">
        <v>16</v>
      </c>
      <c r="D1500" s="3">
        <v>44348</v>
      </c>
      <c r="E1500" s="1">
        <v>44348.667592592596</v>
      </c>
      <c r="F1500" t="s">
        <v>17</v>
      </c>
      <c r="G1500" t="s">
        <v>75</v>
      </c>
      <c r="H1500" s="1">
        <v>44348.645833333336</v>
      </c>
      <c r="I1500" s="1">
        <v>44348.666666666664</v>
      </c>
      <c r="J1500" s="4">
        <f t="shared" si="23"/>
        <v>2.0833333328482695E-2</v>
      </c>
      <c r="K1500" t="s">
        <v>214</v>
      </c>
      <c r="M1500">
        <v>2</v>
      </c>
      <c r="N1500" s="6">
        <v>0</v>
      </c>
      <c r="Q1500" s="2" t="s">
        <v>19</v>
      </c>
    </row>
    <row r="1501" spans="1:17" ht="68" x14ac:dyDescent="0.2">
      <c r="A1501" t="s">
        <v>189</v>
      </c>
      <c r="B1501" t="s">
        <v>138</v>
      </c>
      <c r="C1501" t="s">
        <v>16</v>
      </c>
      <c r="D1501" s="3">
        <v>44349</v>
      </c>
      <c r="E1501" s="1">
        <v>44349.485034722224</v>
      </c>
      <c r="F1501" t="s">
        <v>17</v>
      </c>
      <c r="G1501" t="s">
        <v>76</v>
      </c>
      <c r="H1501" s="1">
        <v>44349.376388888886</v>
      </c>
      <c r="I1501" s="1">
        <v>44349.489583333336</v>
      </c>
      <c r="J1501" s="4">
        <f t="shared" si="23"/>
        <v>0.11319444444961846</v>
      </c>
      <c r="K1501" t="s">
        <v>197</v>
      </c>
      <c r="M1501">
        <v>0</v>
      </c>
      <c r="N1501" s="6">
        <v>0</v>
      </c>
      <c r="Q1501" s="2" t="s">
        <v>19</v>
      </c>
    </row>
    <row r="1502" spans="1:17" ht="68" x14ac:dyDescent="0.2">
      <c r="A1502" t="s">
        <v>189</v>
      </c>
      <c r="B1502" t="s">
        <v>138</v>
      </c>
      <c r="C1502" t="s">
        <v>16</v>
      </c>
      <c r="D1502" s="3">
        <v>44349</v>
      </c>
      <c r="E1502" s="1">
        <v>44349.560069444444</v>
      </c>
      <c r="F1502" t="s">
        <v>17</v>
      </c>
      <c r="G1502" t="s">
        <v>37</v>
      </c>
      <c r="H1502" s="1">
        <v>44349.53125</v>
      </c>
      <c r="I1502" s="1">
        <v>44349.645833333336</v>
      </c>
      <c r="J1502" s="4">
        <f t="shared" si="23"/>
        <v>0.11458333333575865</v>
      </c>
      <c r="K1502" t="s">
        <v>192</v>
      </c>
      <c r="M1502">
        <v>1</v>
      </c>
      <c r="N1502" s="6">
        <v>0</v>
      </c>
      <c r="Q1502" s="2" t="s">
        <v>19</v>
      </c>
    </row>
    <row r="1503" spans="1:17" ht="68" x14ac:dyDescent="0.2">
      <c r="A1503" t="s">
        <v>189</v>
      </c>
      <c r="B1503" t="s">
        <v>138</v>
      </c>
      <c r="C1503" t="s">
        <v>16</v>
      </c>
      <c r="D1503" s="3">
        <v>44350</v>
      </c>
      <c r="E1503" s="1">
        <v>44350.470150462963</v>
      </c>
      <c r="F1503" t="s">
        <v>17</v>
      </c>
      <c r="G1503" t="s">
        <v>77</v>
      </c>
      <c r="H1503" s="1">
        <v>44350.333333333336</v>
      </c>
      <c r="I1503" s="1">
        <v>44350.479166666664</v>
      </c>
      <c r="J1503" s="4">
        <f t="shared" si="23"/>
        <v>0.14583333332848269</v>
      </c>
      <c r="K1503" t="s">
        <v>191</v>
      </c>
      <c r="M1503">
        <v>0</v>
      </c>
      <c r="N1503" s="6">
        <v>0</v>
      </c>
      <c r="Q1503" s="2" t="s">
        <v>19</v>
      </c>
    </row>
    <row r="1504" spans="1:17" ht="68" x14ac:dyDescent="0.2">
      <c r="A1504" t="s">
        <v>189</v>
      </c>
      <c r="B1504" t="s">
        <v>138</v>
      </c>
      <c r="C1504" t="s">
        <v>16</v>
      </c>
      <c r="D1504" s="3">
        <v>44351</v>
      </c>
      <c r="E1504" s="1">
        <v>44351.489027777781</v>
      </c>
      <c r="F1504" t="s">
        <v>17</v>
      </c>
      <c r="G1504" t="s">
        <v>63</v>
      </c>
      <c r="H1504" s="1">
        <v>44351.375</v>
      </c>
      <c r="I1504" s="1">
        <v>44351.489583333336</v>
      </c>
      <c r="J1504" s="4">
        <f t="shared" si="23"/>
        <v>0.11458333333575865</v>
      </c>
      <c r="K1504" t="s">
        <v>199</v>
      </c>
      <c r="M1504">
        <v>0</v>
      </c>
      <c r="N1504" s="6">
        <v>0</v>
      </c>
      <c r="Q1504" s="2" t="s">
        <v>19</v>
      </c>
    </row>
    <row r="1505" spans="1:17" ht="68" x14ac:dyDescent="0.2">
      <c r="A1505" t="s">
        <v>189</v>
      </c>
      <c r="B1505" t="s">
        <v>138</v>
      </c>
      <c r="C1505" t="s">
        <v>16</v>
      </c>
      <c r="D1505" s="3">
        <v>44351</v>
      </c>
      <c r="E1505" s="1">
        <v>44351.658483796295</v>
      </c>
      <c r="F1505" t="s">
        <v>17</v>
      </c>
      <c r="G1505" t="s">
        <v>45</v>
      </c>
      <c r="H1505" s="1">
        <v>44351.53125</v>
      </c>
      <c r="I1505" s="1">
        <v>44351.666666666664</v>
      </c>
      <c r="J1505" s="4">
        <f t="shared" si="23"/>
        <v>0.13541666666424135</v>
      </c>
      <c r="K1505" t="s">
        <v>195</v>
      </c>
      <c r="M1505">
        <v>0</v>
      </c>
      <c r="N1505" s="6">
        <v>0</v>
      </c>
      <c r="Q1505" s="2" t="s">
        <v>19</v>
      </c>
    </row>
    <row r="1506" spans="1:17" ht="68" x14ac:dyDescent="0.2">
      <c r="A1506" t="s">
        <v>189</v>
      </c>
      <c r="B1506" t="s">
        <v>138</v>
      </c>
      <c r="C1506" t="s">
        <v>16</v>
      </c>
      <c r="D1506" s="3">
        <v>44354</v>
      </c>
      <c r="E1506" s="1">
        <v>44354.489664351851</v>
      </c>
      <c r="F1506" t="s">
        <v>17</v>
      </c>
      <c r="G1506" t="s">
        <v>78</v>
      </c>
      <c r="H1506" s="1">
        <v>44354.375</v>
      </c>
      <c r="I1506" s="1">
        <v>44354.489583333336</v>
      </c>
      <c r="J1506" s="4">
        <f t="shared" si="23"/>
        <v>0.11458333333575865</v>
      </c>
      <c r="K1506" t="s">
        <v>215</v>
      </c>
      <c r="M1506">
        <v>1</v>
      </c>
      <c r="N1506" s="6">
        <v>0</v>
      </c>
      <c r="Q1506" s="2" t="s">
        <v>19</v>
      </c>
    </row>
    <row r="1507" spans="1:17" ht="68" x14ac:dyDescent="0.2">
      <c r="A1507" t="s">
        <v>189</v>
      </c>
      <c r="B1507" t="s">
        <v>138</v>
      </c>
      <c r="C1507" t="s">
        <v>16</v>
      </c>
      <c r="D1507" s="3">
        <v>44354</v>
      </c>
      <c r="E1507" s="1">
        <v>44354.643263888887</v>
      </c>
      <c r="F1507" t="s">
        <v>17</v>
      </c>
      <c r="G1507" t="s">
        <v>79</v>
      </c>
      <c r="H1507" s="1">
        <v>44354.530555555553</v>
      </c>
      <c r="I1507" s="1">
        <v>44354.645833333336</v>
      </c>
      <c r="J1507" s="4">
        <f t="shared" si="23"/>
        <v>0.11527777778246673</v>
      </c>
      <c r="K1507" t="s">
        <v>200</v>
      </c>
      <c r="M1507">
        <v>0</v>
      </c>
      <c r="N1507" s="6">
        <v>0</v>
      </c>
      <c r="Q1507" s="2" t="s">
        <v>19</v>
      </c>
    </row>
    <row r="1508" spans="1:17" ht="68" x14ac:dyDescent="0.2">
      <c r="A1508" t="s">
        <v>189</v>
      </c>
      <c r="B1508" t="s">
        <v>138</v>
      </c>
      <c r="C1508" t="s">
        <v>16</v>
      </c>
      <c r="D1508" s="3">
        <v>44355</v>
      </c>
      <c r="E1508" s="1">
        <v>44355.487905092596</v>
      </c>
      <c r="F1508" t="s">
        <v>17</v>
      </c>
      <c r="G1508" t="s">
        <v>80</v>
      </c>
      <c r="H1508" s="1">
        <v>44355.375</v>
      </c>
      <c r="I1508" s="1">
        <v>44355.489583333336</v>
      </c>
      <c r="J1508" s="4">
        <f t="shared" si="23"/>
        <v>0.11458333333575865</v>
      </c>
      <c r="K1508" t="s">
        <v>216</v>
      </c>
      <c r="M1508">
        <v>1</v>
      </c>
      <c r="N1508" s="6">
        <v>0</v>
      </c>
      <c r="Q1508" s="2" t="s">
        <v>19</v>
      </c>
    </row>
    <row r="1509" spans="1:17" ht="68" x14ac:dyDescent="0.2">
      <c r="A1509" t="s">
        <v>189</v>
      </c>
      <c r="B1509" t="s">
        <v>138</v>
      </c>
      <c r="C1509" t="s">
        <v>16</v>
      </c>
      <c r="D1509" s="3">
        <v>44355</v>
      </c>
      <c r="E1509" s="1">
        <v>44355.672210648147</v>
      </c>
      <c r="F1509" t="s">
        <v>17</v>
      </c>
      <c r="G1509" t="s">
        <v>48</v>
      </c>
      <c r="H1509" s="1">
        <v>44355.541666666664</v>
      </c>
      <c r="I1509" s="1">
        <v>44355.666666666664</v>
      </c>
      <c r="J1509" s="4">
        <f t="shared" si="23"/>
        <v>0.125</v>
      </c>
      <c r="K1509" t="s">
        <v>192</v>
      </c>
      <c r="M1509">
        <v>0</v>
      </c>
      <c r="N1509" s="6">
        <v>0</v>
      </c>
      <c r="Q1509" s="2" t="s">
        <v>19</v>
      </c>
    </row>
    <row r="1510" spans="1:17" ht="68" x14ac:dyDescent="0.2">
      <c r="A1510" t="s">
        <v>189</v>
      </c>
      <c r="B1510" t="s">
        <v>138</v>
      </c>
      <c r="C1510" t="s">
        <v>16</v>
      </c>
      <c r="D1510" s="3">
        <v>44356</v>
      </c>
      <c r="E1510" s="1">
        <v>44356.484988425924</v>
      </c>
      <c r="F1510" t="s">
        <v>17</v>
      </c>
      <c r="G1510" t="s">
        <v>78</v>
      </c>
      <c r="H1510" s="1">
        <v>44356.375</v>
      </c>
      <c r="I1510" s="1">
        <v>44356.489583333336</v>
      </c>
      <c r="J1510" s="4">
        <f t="shared" si="23"/>
        <v>0.11458333333575865</v>
      </c>
      <c r="K1510" t="s">
        <v>197</v>
      </c>
      <c r="M1510">
        <v>0</v>
      </c>
      <c r="N1510" s="6">
        <v>0</v>
      </c>
      <c r="Q1510" s="2" t="s">
        <v>19</v>
      </c>
    </row>
    <row r="1511" spans="1:17" ht="68" x14ac:dyDescent="0.2">
      <c r="A1511" t="s">
        <v>189</v>
      </c>
      <c r="B1511" t="s">
        <v>138</v>
      </c>
      <c r="C1511" t="s">
        <v>16</v>
      </c>
      <c r="D1511" s="3">
        <v>44356</v>
      </c>
      <c r="E1511" s="1">
        <v>44356.635439814818</v>
      </c>
      <c r="F1511" t="s">
        <v>17</v>
      </c>
      <c r="G1511" t="s">
        <v>58</v>
      </c>
      <c r="H1511" s="1">
        <v>44356.54791666667</v>
      </c>
      <c r="I1511" s="1">
        <v>44356.666666666664</v>
      </c>
      <c r="J1511" s="4">
        <f t="shared" si="23"/>
        <v>0.11874999999417923</v>
      </c>
      <c r="K1511" t="s">
        <v>200</v>
      </c>
      <c r="M1511">
        <v>0</v>
      </c>
      <c r="N1511" s="6">
        <v>0</v>
      </c>
      <c r="Q1511" s="2" t="s">
        <v>19</v>
      </c>
    </row>
    <row r="1512" spans="1:17" ht="68" x14ac:dyDescent="0.2">
      <c r="A1512" t="s">
        <v>189</v>
      </c>
      <c r="B1512" t="s">
        <v>138</v>
      </c>
      <c r="C1512" t="s">
        <v>16</v>
      </c>
      <c r="D1512" s="3">
        <v>44358</v>
      </c>
      <c r="E1512" s="1">
        <v>44358.489699074074</v>
      </c>
      <c r="F1512" t="s">
        <v>17</v>
      </c>
      <c r="G1512" t="s">
        <v>53</v>
      </c>
      <c r="H1512" s="1">
        <v>44358.375</v>
      </c>
      <c r="I1512" s="1">
        <v>44358.489583333336</v>
      </c>
      <c r="J1512" s="4">
        <f t="shared" si="23"/>
        <v>0.11458333333575865</v>
      </c>
      <c r="K1512" t="s">
        <v>199</v>
      </c>
      <c r="M1512">
        <v>0</v>
      </c>
      <c r="N1512" s="6">
        <v>0</v>
      </c>
      <c r="Q1512" s="2" t="s">
        <v>19</v>
      </c>
    </row>
    <row r="1513" spans="1:17" ht="68" x14ac:dyDescent="0.2">
      <c r="A1513" t="s">
        <v>189</v>
      </c>
      <c r="B1513" t="s">
        <v>138</v>
      </c>
      <c r="C1513" t="s">
        <v>16</v>
      </c>
      <c r="D1513" s="3">
        <v>44358</v>
      </c>
      <c r="E1513" s="1">
        <v>44358.644108796296</v>
      </c>
      <c r="F1513" t="s">
        <v>17</v>
      </c>
      <c r="G1513" t="s">
        <v>82</v>
      </c>
      <c r="H1513" s="1">
        <v>44358.53125</v>
      </c>
      <c r="I1513" s="1">
        <v>44358.645833333336</v>
      </c>
      <c r="J1513" s="4">
        <f t="shared" si="23"/>
        <v>0.11458333333575865</v>
      </c>
      <c r="K1513" t="s">
        <v>200</v>
      </c>
      <c r="M1513">
        <v>0</v>
      </c>
      <c r="N1513" s="6">
        <v>0</v>
      </c>
      <c r="Q1513" s="2" t="s">
        <v>19</v>
      </c>
    </row>
    <row r="1514" spans="1:17" ht="68" x14ac:dyDescent="0.2">
      <c r="A1514" t="s">
        <v>189</v>
      </c>
      <c r="B1514" t="s">
        <v>138</v>
      </c>
      <c r="C1514" t="s">
        <v>16</v>
      </c>
      <c r="D1514" s="3">
        <v>44361</v>
      </c>
      <c r="E1514" s="1">
        <v>44361.487407407411</v>
      </c>
      <c r="F1514" t="s">
        <v>17</v>
      </c>
      <c r="G1514" t="s">
        <v>46</v>
      </c>
      <c r="H1514" s="1">
        <v>44361.375</v>
      </c>
      <c r="I1514" s="1">
        <v>44361.489583333336</v>
      </c>
      <c r="J1514" s="4">
        <f t="shared" si="23"/>
        <v>0.11458333333575865</v>
      </c>
      <c r="K1514" t="s">
        <v>199</v>
      </c>
      <c r="M1514">
        <v>1</v>
      </c>
      <c r="N1514" s="6">
        <v>0</v>
      </c>
      <c r="Q1514" s="2" t="s">
        <v>19</v>
      </c>
    </row>
    <row r="1515" spans="1:17" ht="68" x14ac:dyDescent="0.2">
      <c r="A1515" t="s">
        <v>189</v>
      </c>
      <c r="B1515" t="s">
        <v>138</v>
      </c>
      <c r="C1515" t="s">
        <v>16</v>
      </c>
      <c r="D1515" s="3">
        <v>44361</v>
      </c>
      <c r="E1515" s="1">
        <v>44361.643969907411</v>
      </c>
      <c r="F1515" t="s">
        <v>17</v>
      </c>
      <c r="G1515" t="s">
        <v>35</v>
      </c>
      <c r="H1515" s="1">
        <v>44361.537499999999</v>
      </c>
      <c r="I1515" s="1">
        <v>44361.645833333336</v>
      </c>
      <c r="J1515" s="4">
        <f t="shared" si="23"/>
        <v>0.10833333333721384</v>
      </c>
      <c r="K1515" t="s">
        <v>200</v>
      </c>
      <c r="M1515">
        <v>0</v>
      </c>
      <c r="N1515" s="6">
        <v>0</v>
      </c>
      <c r="Q1515" s="2" t="s">
        <v>19</v>
      </c>
    </row>
    <row r="1516" spans="1:17" ht="68" x14ac:dyDescent="0.2">
      <c r="A1516" t="s">
        <v>189</v>
      </c>
      <c r="B1516" t="s">
        <v>138</v>
      </c>
      <c r="C1516" t="s">
        <v>16</v>
      </c>
      <c r="D1516" s="3">
        <v>44363</v>
      </c>
      <c r="E1516" s="1">
        <v>44363.662766203706</v>
      </c>
      <c r="F1516" t="s">
        <v>17</v>
      </c>
      <c r="G1516" t="s">
        <v>79</v>
      </c>
      <c r="H1516" s="1">
        <v>44363.53125</v>
      </c>
      <c r="I1516" s="1">
        <v>44363.666666666664</v>
      </c>
      <c r="J1516" s="4">
        <f t="shared" si="23"/>
        <v>0.13541666666424135</v>
      </c>
      <c r="K1516" t="s">
        <v>200</v>
      </c>
      <c r="M1516">
        <v>1</v>
      </c>
      <c r="N1516" s="6">
        <v>0</v>
      </c>
      <c r="Q1516" s="2" t="s">
        <v>19</v>
      </c>
    </row>
    <row r="1517" spans="1:17" ht="68" x14ac:dyDescent="0.2">
      <c r="A1517" t="s">
        <v>189</v>
      </c>
      <c r="B1517" t="s">
        <v>138</v>
      </c>
      <c r="C1517" t="s">
        <v>16</v>
      </c>
      <c r="D1517" s="3">
        <v>44364</v>
      </c>
      <c r="E1517" s="1">
        <v>44364.491863425923</v>
      </c>
      <c r="F1517" t="s">
        <v>17</v>
      </c>
      <c r="G1517" t="s">
        <v>77</v>
      </c>
      <c r="H1517" s="1">
        <v>44364.333333333336</v>
      </c>
      <c r="I1517" s="1">
        <v>44364.479166666664</v>
      </c>
      <c r="J1517" s="4">
        <f t="shared" si="23"/>
        <v>0.14583333332848269</v>
      </c>
      <c r="K1517" t="s">
        <v>217</v>
      </c>
      <c r="M1517">
        <v>2</v>
      </c>
      <c r="N1517" s="6">
        <v>0</v>
      </c>
      <c r="Q1517" s="2" t="s">
        <v>19</v>
      </c>
    </row>
    <row r="1518" spans="1:17" ht="68" x14ac:dyDescent="0.2">
      <c r="A1518" t="s">
        <v>189</v>
      </c>
      <c r="B1518" t="s">
        <v>138</v>
      </c>
      <c r="C1518" t="s">
        <v>16</v>
      </c>
      <c r="D1518" s="3">
        <v>44365</v>
      </c>
      <c r="E1518" s="1">
        <v>44365.490717592591</v>
      </c>
      <c r="F1518" t="s">
        <v>17</v>
      </c>
      <c r="G1518" t="s">
        <v>64</v>
      </c>
      <c r="H1518" s="1">
        <v>44365.375</v>
      </c>
      <c r="I1518" s="1">
        <v>44365.489583333336</v>
      </c>
      <c r="J1518" s="4">
        <f t="shared" si="23"/>
        <v>0.11458333333575865</v>
      </c>
      <c r="K1518" t="s">
        <v>218</v>
      </c>
      <c r="M1518">
        <v>0</v>
      </c>
      <c r="N1518" s="6">
        <v>0</v>
      </c>
      <c r="Q1518" s="2" t="s">
        <v>19</v>
      </c>
    </row>
    <row r="1519" spans="1:17" ht="68" x14ac:dyDescent="0.2">
      <c r="A1519" t="s">
        <v>189</v>
      </c>
      <c r="B1519" t="s">
        <v>138</v>
      </c>
      <c r="C1519" t="s">
        <v>16</v>
      </c>
      <c r="D1519" s="3">
        <v>44365</v>
      </c>
      <c r="E1519" s="1">
        <v>44365.65865740741</v>
      </c>
      <c r="F1519" t="s">
        <v>17</v>
      </c>
      <c r="G1519" t="s">
        <v>83</v>
      </c>
      <c r="H1519" s="1">
        <v>44365.53125</v>
      </c>
      <c r="I1519" s="1">
        <v>44365.666666666664</v>
      </c>
      <c r="J1519" s="4">
        <f t="shared" si="23"/>
        <v>0.13541666666424135</v>
      </c>
      <c r="K1519" t="s">
        <v>217</v>
      </c>
      <c r="M1519">
        <v>4</v>
      </c>
      <c r="N1519" s="6">
        <v>0</v>
      </c>
      <c r="Q1519" s="2" t="s">
        <v>19</v>
      </c>
    </row>
    <row r="1520" spans="1:17" ht="68" x14ac:dyDescent="0.2">
      <c r="A1520" t="s">
        <v>189</v>
      </c>
      <c r="B1520" t="s">
        <v>138</v>
      </c>
      <c r="C1520" t="s">
        <v>16</v>
      </c>
      <c r="D1520" s="3">
        <v>44375</v>
      </c>
      <c r="E1520" s="1">
        <v>44375.553611111114</v>
      </c>
      <c r="F1520" t="s">
        <v>17</v>
      </c>
      <c r="G1520" t="s">
        <v>84</v>
      </c>
      <c r="H1520" s="1">
        <v>44375.539583333331</v>
      </c>
      <c r="I1520" s="1">
        <v>44375.669444444444</v>
      </c>
      <c r="J1520" s="4">
        <f t="shared" si="23"/>
        <v>0.12986111111240461</v>
      </c>
      <c r="K1520" t="s">
        <v>213</v>
      </c>
      <c r="M1520">
        <v>2</v>
      </c>
      <c r="N1520" s="6">
        <v>0</v>
      </c>
      <c r="Q1520" s="2" t="s">
        <v>19</v>
      </c>
    </row>
    <row r="1521" spans="1:17" ht="68" x14ac:dyDescent="0.2">
      <c r="A1521" t="s">
        <v>189</v>
      </c>
      <c r="B1521" t="s">
        <v>138</v>
      </c>
      <c r="C1521" t="s">
        <v>16</v>
      </c>
      <c r="D1521" s="3">
        <v>44375</v>
      </c>
      <c r="E1521" s="1">
        <v>44375.669502314813</v>
      </c>
      <c r="F1521" t="s">
        <v>17</v>
      </c>
      <c r="G1521" t="s">
        <v>84</v>
      </c>
      <c r="H1521" s="1">
        <v>44375.539583333331</v>
      </c>
      <c r="I1521" s="1">
        <v>44375.669444444444</v>
      </c>
      <c r="J1521" s="4">
        <f t="shared" si="23"/>
        <v>0.12986111111240461</v>
      </c>
      <c r="K1521" t="s">
        <v>213</v>
      </c>
      <c r="M1521">
        <v>0</v>
      </c>
      <c r="N1521" s="5" t="s">
        <v>144</v>
      </c>
      <c r="Q1521" s="2" t="s">
        <v>19</v>
      </c>
    </row>
    <row r="1522" spans="1:17" ht="68" x14ac:dyDescent="0.2">
      <c r="A1522" t="s">
        <v>189</v>
      </c>
      <c r="B1522" t="s">
        <v>139</v>
      </c>
      <c r="C1522" t="s">
        <v>16</v>
      </c>
      <c r="D1522" s="3">
        <v>44281</v>
      </c>
      <c r="E1522" s="1">
        <v>44281.475775462961</v>
      </c>
      <c r="F1522" t="s">
        <v>17</v>
      </c>
      <c r="G1522" t="s">
        <v>38</v>
      </c>
      <c r="H1522" s="1">
        <v>44281.354166666664</v>
      </c>
      <c r="I1522" s="1">
        <v>44281.479166666664</v>
      </c>
      <c r="J1522" s="4">
        <f t="shared" si="23"/>
        <v>0.125</v>
      </c>
      <c r="K1522" t="s">
        <v>190</v>
      </c>
      <c r="M1522">
        <v>19</v>
      </c>
      <c r="N1522" s="6">
        <v>0</v>
      </c>
      <c r="Q1522" s="2" t="s">
        <v>19</v>
      </c>
    </row>
    <row r="1523" spans="1:17" ht="68" x14ac:dyDescent="0.2">
      <c r="A1523" t="s">
        <v>189</v>
      </c>
      <c r="B1523" t="s">
        <v>139</v>
      </c>
      <c r="C1523" t="s">
        <v>16</v>
      </c>
      <c r="D1523" s="3">
        <v>44284</v>
      </c>
      <c r="E1523" s="1">
        <v>44284.472893518519</v>
      </c>
      <c r="F1523" t="s">
        <v>17</v>
      </c>
      <c r="G1523" t="s">
        <v>38</v>
      </c>
      <c r="H1523" s="1">
        <v>44284.354166666664</v>
      </c>
      <c r="I1523" s="1">
        <v>44284.479166666664</v>
      </c>
      <c r="J1523" s="4">
        <f t="shared" si="23"/>
        <v>0.125</v>
      </c>
      <c r="K1523" t="s">
        <v>190</v>
      </c>
      <c r="M1523">
        <v>1</v>
      </c>
      <c r="N1523" s="6">
        <v>0</v>
      </c>
      <c r="Q1523" s="2" t="s">
        <v>19</v>
      </c>
    </row>
    <row r="1524" spans="1:17" ht="68" x14ac:dyDescent="0.2">
      <c r="A1524" t="s">
        <v>189</v>
      </c>
      <c r="B1524" t="s">
        <v>139</v>
      </c>
      <c r="C1524" t="s">
        <v>16</v>
      </c>
      <c r="D1524" s="3">
        <v>44285</v>
      </c>
      <c r="E1524" s="1">
        <v>44285.414733796293</v>
      </c>
      <c r="F1524" t="s">
        <v>17</v>
      </c>
      <c r="G1524" t="s">
        <v>29</v>
      </c>
      <c r="H1524" s="1">
        <v>44285.375</v>
      </c>
      <c r="I1524" s="1">
        <v>44285.489583333336</v>
      </c>
      <c r="J1524" s="4">
        <f t="shared" si="23"/>
        <v>0.11458333333575865</v>
      </c>
      <c r="K1524" t="s">
        <v>192</v>
      </c>
      <c r="M1524">
        <v>5</v>
      </c>
      <c r="N1524" s="6">
        <v>0</v>
      </c>
      <c r="Q1524" s="2" t="s">
        <v>19</v>
      </c>
    </row>
    <row r="1525" spans="1:17" ht="68" x14ac:dyDescent="0.2">
      <c r="A1525" t="s">
        <v>189</v>
      </c>
      <c r="B1525" t="s">
        <v>139</v>
      </c>
      <c r="C1525" t="s">
        <v>16</v>
      </c>
      <c r="D1525" s="3">
        <v>44285</v>
      </c>
      <c r="E1525" s="1">
        <v>44285.593807870369</v>
      </c>
      <c r="F1525" t="s">
        <v>17</v>
      </c>
      <c r="G1525" t="s">
        <v>42</v>
      </c>
      <c r="H1525" s="1">
        <v>44285.53125</v>
      </c>
      <c r="I1525" s="1">
        <v>44285.666666666664</v>
      </c>
      <c r="J1525" s="4">
        <f t="shared" si="23"/>
        <v>0.13541666666424135</v>
      </c>
      <c r="K1525" t="s">
        <v>192</v>
      </c>
      <c r="M1525">
        <v>3</v>
      </c>
      <c r="N1525" s="6">
        <v>0</v>
      </c>
      <c r="Q1525" s="2" t="s">
        <v>19</v>
      </c>
    </row>
    <row r="1526" spans="1:17" ht="68" x14ac:dyDescent="0.2">
      <c r="A1526" t="s">
        <v>189</v>
      </c>
      <c r="B1526" t="s">
        <v>139</v>
      </c>
      <c r="C1526" t="s">
        <v>16</v>
      </c>
      <c r="D1526" s="3">
        <v>44286</v>
      </c>
      <c r="E1526" s="1">
        <v>44286.472141203703</v>
      </c>
      <c r="F1526" t="s">
        <v>17</v>
      </c>
      <c r="G1526" t="s">
        <v>31</v>
      </c>
      <c r="H1526" s="1">
        <v>44286.354166666664</v>
      </c>
      <c r="I1526" s="1">
        <v>44286.479166666664</v>
      </c>
      <c r="J1526" s="4">
        <f t="shared" si="23"/>
        <v>0.125</v>
      </c>
      <c r="K1526" t="s">
        <v>190</v>
      </c>
      <c r="M1526">
        <v>11</v>
      </c>
      <c r="N1526" s="6">
        <v>0</v>
      </c>
      <c r="Q1526" s="2" t="s">
        <v>19</v>
      </c>
    </row>
    <row r="1527" spans="1:17" ht="68" x14ac:dyDescent="0.2">
      <c r="A1527" t="s">
        <v>189</v>
      </c>
      <c r="B1527" t="s">
        <v>139</v>
      </c>
      <c r="C1527" t="s">
        <v>16</v>
      </c>
      <c r="D1527" s="3">
        <v>44287</v>
      </c>
      <c r="E1527" s="1">
        <v>44287.412152777775</v>
      </c>
      <c r="F1527" t="s">
        <v>17</v>
      </c>
      <c r="G1527" t="s">
        <v>43</v>
      </c>
      <c r="H1527" s="1">
        <v>44287.375</v>
      </c>
      <c r="I1527" s="1">
        <v>44287.489583333336</v>
      </c>
      <c r="J1527" s="4">
        <f t="shared" si="23"/>
        <v>0.11458333333575865</v>
      </c>
      <c r="K1527" t="s">
        <v>192</v>
      </c>
      <c r="M1527">
        <v>1</v>
      </c>
      <c r="N1527" s="6">
        <v>0</v>
      </c>
      <c r="Q1527" s="2" t="s">
        <v>19</v>
      </c>
    </row>
    <row r="1528" spans="1:17" ht="68" x14ac:dyDescent="0.2">
      <c r="A1528" t="s">
        <v>189</v>
      </c>
      <c r="B1528" t="s">
        <v>139</v>
      </c>
      <c r="C1528" t="s">
        <v>16</v>
      </c>
      <c r="D1528" s="3">
        <v>44287</v>
      </c>
      <c r="E1528" s="1">
        <v>44287.43681712963</v>
      </c>
      <c r="F1528" t="s">
        <v>17</v>
      </c>
      <c r="G1528" t="s">
        <v>43</v>
      </c>
      <c r="H1528" s="1">
        <v>44287.375</v>
      </c>
      <c r="I1528" s="1">
        <v>44287.489583333336</v>
      </c>
      <c r="J1528" s="4">
        <f t="shared" si="23"/>
        <v>0.11458333333575865</v>
      </c>
      <c r="K1528" t="s">
        <v>192</v>
      </c>
      <c r="M1528">
        <v>6</v>
      </c>
      <c r="N1528" s="6">
        <v>0</v>
      </c>
      <c r="Q1528" s="2" t="s">
        <v>19</v>
      </c>
    </row>
    <row r="1529" spans="1:17" ht="68" x14ac:dyDescent="0.2">
      <c r="A1529" t="s">
        <v>189</v>
      </c>
      <c r="B1529" t="s">
        <v>139</v>
      </c>
      <c r="C1529" t="s">
        <v>16</v>
      </c>
      <c r="D1529" s="3">
        <v>44287</v>
      </c>
      <c r="E1529" s="1">
        <v>44287.535925925928</v>
      </c>
      <c r="F1529" t="s">
        <v>17</v>
      </c>
      <c r="G1529" t="s">
        <v>37</v>
      </c>
      <c r="H1529" s="1">
        <v>44287.53125</v>
      </c>
      <c r="I1529" s="1">
        <v>44287.666666666664</v>
      </c>
      <c r="J1529" s="4">
        <f t="shared" si="23"/>
        <v>0.13541666666424135</v>
      </c>
      <c r="K1529" t="s">
        <v>192</v>
      </c>
      <c r="M1529">
        <v>3</v>
      </c>
      <c r="N1529" s="6">
        <v>0</v>
      </c>
      <c r="Q1529" s="2" t="s">
        <v>19</v>
      </c>
    </row>
    <row r="1530" spans="1:17" ht="68" x14ac:dyDescent="0.2">
      <c r="A1530" t="s">
        <v>189</v>
      </c>
      <c r="B1530" t="s">
        <v>139</v>
      </c>
      <c r="C1530" t="s">
        <v>16</v>
      </c>
      <c r="D1530" s="3">
        <v>44288</v>
      </c>
      <c r="E1530" s="1">
        <v>44288.474537037036</v>
      </c>
      <c r="F1530" t="s">
        <v>17</v>
      </c>
      <c r="G1530" t="s">
        <v>38</v>
      </c>
      <c r="H1530" s="1">
        <v>44288.354166666664</v>
      </c>
      <c r="I1530" s="1">
        <v>44288.479166666664</v>
      </c>
      <c r="J1530" s="4">
        <f t="shared" si="23"/>
        <v>0.125</v>
      </c>
      <c r="K1530" t="s">
        <v>190</v>
      </c>
      <c r="M1530">
        <v>7</v>
      </c>
      <c r="N1530" s="6">
        <v>0</v>
      </c>
      <c r="Q1530" s="2" t="s">
        <v>19</v>
      </c>
    </row>
    <row r="1531" spans="1:17" ht="68" x14ac:dyDescent="0.2">
      <c r="A1531" t="s">
        <v>189</v>
      </c>
      <c r="B1531" t="s">
        <v>139</v>
      </c>
      <c r="C1531" t="s">
        <v>16</v>
      </c>
      <c r="D1531" s="3">
        <v>44291</v>
      </c>
      <c r="E1531" s="1">
        <v>44291.465555555558</v>
      </c>
      <c r="F1531" t="s">
        <v>17</v>
      </c>
      <c r="G1531" t="s">
        <v>38</v>
      </c>
      <c r="H1531" s="1">
        <v>44291.354166666664</v>
      </c>
      <c r="I1531" s="1">
        <v>44291.479166666664</v>
      </c>
      <c r="J1531" s="4">
        <f t="shared" si="23"/>
        <v>0.125</v>
      </c>
      <c r="K1531" t="s">
        <v>190</v>
      </c>
      <c r="M1531">
        <v>8</v>
      </c>
      <c r="N1531" s="6">
        <v>0</v>
      </c>
      <c r="Q1531" s="2" t="s">
        <v>19</v>
      </c>
    </row>
    <row r="1532" spans="1:17" ht="68" x14ac:dyDescent="0.2">
      <c r="A1532" t="s">
        <v>189</v>
      </c>
      <c r="B1532" t="s">
        <v>139</v>
      </c>
      <c r="C1532" t="s">
        <v>16</v>
      </c>
      <c r="D1532" s="3">
        <v>44292</v>
      </c>
      <c r="E1532" s="1">
        <v>44292.489317129628</v>
      </c>
      <c r="F1532" t="s">
        <v>17</v>
      </c>
      <c r="G1532" t="s">
        <v>44</v>
      </c>
      <c r="H1532" s="1">
        <v>44292.375</v>
      </c>
      <c r="I1532" s="1">
        <v>44292.489583333336</v>
      </c>
      <c r="J1532" s="4">
        <f t="shared" si="23"/>
        <v>0.11458333333575865</v>
      </c>
      <c r="K1532" t="s">
        <v>192</v>
      </c>
      <c r="M1532">
        <v>0</v>
      </c>
      <c r="N1532" s="6">
        <v>0</v>
      </c>
      <c r="Q1532" s="2" t="s">
        <v>19</v>
      </c>
    </row>
    <row r="1533" spans="1:17" ht="68" x14ac:dyDescent="0.2">
      <c r="A1533" t="s">
        <v>189</v>
      </c>
      <c r="B1533" t="s">
        <v>139</v>
      </c>
      <c r="C1533" t="s">
        <v>16</v>
      </c>
      <c r="D1533" s="3">
        <v>44292</v>
      </c>
      <c r="E1533" s="1">
        <v>44292.661539351851</v>
      </c>
      <c r="F1533" t="s">
        <v>17</v>
      </c>
      <c r="G1533" t="s">
        <v>45</v>
      </c>
      <c r="H1533" s="1">
        <v>44292.53125</v>
      </c>
      <c r="I1533" s="1">
        <v>44292.666666666664</v>
      </c>
      <c r="J1533" s="4">
        <f t="shared" si="23"/>
        <v>0.13541666666424135</v>
      </c>
      <c r="K1533" t="s">
        <v>193</v>
      </c>
      <c r="M1533">
        <v>0</v>
      </c>
      <c r="N1533" s="6">
        <v>0</v>
      </c>
      <c r="Q1533" s="2" t="s">
        <v>19</v>
      </c>
    </row>
    <row r="1534" spans="1:17" ht="68" x14ac:dyDescent="0.2">
      <c r="A1534" t="s">
        <v>189</v>
      </c>
      <c r="B1534" t="s">
        <v>139</v>
      </c>
      <c r="C1534" t="s">
        <v>16</v>
      </c>
      <c r="D1534" s="3">
        <v>44293</v>
      </c>
      <c r="E1534" s="1">
        <v>44293.382638888892</v>
      </c>
      <c r="F1534" t="s">
        <v>17</v>
      </c>
      <c r="G1534" t="s">
        <v>18</v>
      </c>
      <c r="H1534" s="1">
        <v>44293.354166666664</v>
      </c>
      <c r="I1534" s="1">
        <v>44293.479166666664</v>
      </c>
      <c r="J1534" s="4">
        <f t="shared" si="23"/>
        <v>0.125</v>
      </c>
      <c r="K1534" t="s">
        <v>190</v>
      </c>
      <c r="M1534">
        <v>3</v>
      </c>
      <c r="N1534" s="6">
        <v>0</v>
      </c>
      <c r="Q1534" s="2" t="s">
        <v>19</v>
      </c>
    </row>
    <row r="1535" spans="1:17" ht="68" x14ac:dyDescent="0.2">
      <c r="A1535" t="s">
        <v>189</v>
      </c>
      <c r="B1535" t="s">
        <v>139</v>
      </c>
      <c r="C1535" t="s">
        <v>16</v>
      </c>
      <c r="D1535" s="3">
        <v>44294</v>
      </c>
      <c r="E1535" s="1">
        <v>44294.487280092595</v>
      </c>
      <c r="F1535" t="s">
        <v>17</v>
      </c>
      <c r="G1535" t="s">
        <v>46</v>
      </c>
      <c r="H1535" s="1">
        <v>44294.375</v>
      </c>
      <c r="I1535" s="1">
        <v>44294.489583333336</v>
      </c>
      <c r="J1535" s="4">
        <f t="shared" si="23"/>
        <v>0.11458333333575865</v>
      </c>
      <c r="K1535" t="s">
        <v>194</v>
      </c>
      <c r="M1535">
        <v>0</v>
      </c>
      <c r="N1535" s="6">
        <v>0</v>
      </c>
      <c r="Q1535" s="2" t="s">
        <v>19</v>
      </c>
    </row>
    <row r="1536" spans="1:17" ht="68" x14ac:dyDescent="0.2">
      <c r="A1536" t="s">
        <v>189</v>
      </c>
      <c r="B1536" t="s">
        <v>139</v>
      </c>
      <c r="C1536" t="s">
        <v>16</v>
      </c>
      <c r="D1536" s="3">
        <v>44294</v>
      </c>
      <c r="E1536" s="1">
        <v>44294.553935185184</v>
      </c>
      <c r="F1536" t="s">
        <v>17</v>
      </c>
      <c r="G1536" t="s">
        <v>42</v>
      </c>
      <c r="H1536" s="1">
        <v>44294.53125</v>
      </c>
      <c r="I1536" s="1">
        <v>44294.666666666664</v>
      </c>
      <c r="J1536" s="4">
        <f t="shared" si="23"/>
        <v>0.13541666666424135</v>
      </c>
      <c r="K1536" t="s">
        <v>192</v>
      </c>
      <c r="M1536">
        <v>2</v>
      </c>
      <c r="N1536" s="6">
        <v>0</v>
      </c>
      <c r="Q1536" s="2" t="s">
        <v>19</v>
      </c>
    </row>
    <row r="1537" spans="1:17" ht="68" x14ac:dyDescent="0.2">
      <c r="A1537" t="s">
        <v>189</v>
      </c>
      <c r="B1537" t="s">
        <v>139</v>
      </c>
      <c r="C1537" t="s">
        <v>16</v>
      </c>
      <c r="D1537" s="3">
        <v>44294</v>
      </c>
      <c r="E1537" s="1">
        <v>44294.669722222221</v>
      </c>
      <c r="F1537" t="s">
        <v>17</v>
      </c>
      <c r="G1537" t="s">
        <v>42</v>
      </c>
      <c r="H1537" s="1">
        <v>44294.53125</v>
      </c>
      <c r="I1537" s="1">
        <v>44294.666666666664</v>
      </c>
      <c r="J1537" s="4">
        <f t="shared" si="23"/>
        <v>0.13541666666424135</v>
      </c>
      <c r="K1537" t="s">
        <v>192</v>
      </c>
      <c r="M1537">
        <v>0</v>
      </c>
      <c r="N1537" s="6">
        <v>0</v>
      </c>
      <c r="Q1537" s="2" t="s">
        <v>19</v>
      </c>
    </row>
    <row r="1538" spans="1:17" ht="68" x14ac:dyDescent="0.2">
      <c r="A1538" t="s">
        <v>189</v>
      </c>
      <c r="B1538" t="s">
        <v>139</v>
      </c>
      <c r="C1538" t="s">
        <v>16</v>
      </c>
      <c r="D1538" s="3">
        <v>44295</v>
      </c>
      <c r="E1538" s="1">
        <v>44295.364374999997</v>
      </c>
      <c r="F1538" t="s">
        <v>17</v>
      </c>
      <c r="G1538" t="s">
        <v>31</v>
      </c>
      <c r="H1538" s="1">
        <v>44295.354166666664</v>
      </c>
      <c r="I1538" s="1">
        <v>44295.479166666664</v>
      </c>
      <c r="J1538" s="4">
        <f t="shared" si="23"/>
        <v>0.125</v>
      </c>
      <c r="K1538" t="s">
        <v>190</v>
      </c>
      <c r="M1538">
        <v>5</v>
      </c>
      <c r="N1538" s="6">
        <v>0</v>
      </c>
      <c r="Q1538" s="2" t="s">
        <v>19</v>
      </c>
    </row>
    <row r="1539" spans="1:17" ht="68" x14ac:dyDescent="0.2">
      <c r="A1539" t="s">
        <v>189</v>
      </c>
      <c r="B1539" t="s">
        <v>139</v>
      </c>
      <c r="C1539" t="s">
        <v>16</v>
      </c>
      <c r="D1539" s="3">
        <v>44298</v>
      </c>
      <c r="E1539" s="1">
        <v>44298.66070601852</v>
      </c>
      <c r="F1539" t="s">
        <v>17</v>
      </c>
      <c r="G1539" t="s">
        <v>45</v>
      </c>
      <c r="H1539" s="1">
        <v>44298.53125</v>
      </c>
      <c r="I1539" s="1">
        <v>44298.666666666664</v>
      </c>
      <c r="J1539" s="4">
        <f t="shared" ref="J1539:J1602" si="24">IF($I1539="","",$I1539-$H1539)</f>
        <v>0.13541666666424135</v>
      </c>
      <c r="K1539" t="s">
        <v>195</v>
      </c>
      <c r="M1539">
        <v>0</v>
      </c>
      <c r="N1539" s="6">
        <v>0</v>
      </c>
      <c r="Q1539" s="2" t="s">
        <v>19</v>
      </c>
    </row>
    <row r="1540" spans="1:17" ht="68" x14ac:dyDescent="0.2">
      <c r="A1540" t="s">
        <v>189</v>
      </c>
      <c r="B1540" t="s">
        <v>139</v>
      </c>
      <c r="C1540" t="s">
        <v>16</v>
      </c>
      <c r="D1540" s="3">
        <v>44299</v>
      </c>
      <c r="E1540" s="1">
        <v>44299.445011574076</v>
      </c>
      <c r="F1540" t="s">
        <v>17</v>
      </c>
      <c r="G1540" t="s">
        <v>47</v>
      </c>
      <c r="H1540" s="1">
        <v>44299.375</v>
      </c>
      <c r="I1540" s="1">
        <v>44299.510416666664</v>
      </c>
      <c r="J1540" s="4">
        <f t="shared" si="24"/>
        <v>0.13541666666424135</v>
      </c>
      <c r="K1540" t="s">
        <v>192</v>
      </c>
      <c r="M1540">
        <v>2</v>
      </c>
      <c r="N1540" s="6">
        <v>0</v>
      </c>
      <c r="Q1540" s="2" t="s">
        <v>19</v>
      </c>
    </row>
    <row r="1541" spans="1:17" ht="68" x14ac:dyDescent="0.2">
      <c r="A1541" t="s">
        <v>189</v>
      </c>
      <c r="B1541" t="s">
        <v>139</v>
      </c>
      <c r="C1541" t="s">
        <v>16</v>
      </c>
      <c r="D1541" s="3">
        <v>44299</v>
      </c>
      <c r="E1541" s="1">
        <v>44299.588020833333</v>
      </c>
      <c r="F1541" t="s">
        <v>17</v>
      </c>
      <c r="G1541" t="s">
        <v>48</v>
      </c>
      <c r="H1541" s="1">
        <v>44299.53125</v>
      </c>
      <c r="I1541" s="1">
        <v>44299.635416666664</v>
      </c>
      <c r="J1541" s="4">
        <f t="shared" si="24"/>
        <v>0.10416666666424135</v>
      </c>
      <c r="K1541" t="s">
        <v>192</v>
      </c>
      <c r="M1541">
        <v>3</v>
      </c>
      <c r="N1541" s="6">
        <v>0</v>
      </c>
      <c r="Q1541" s="2" t="s">
        <v>19</v>
      </c>
    </row>
    <row r="1542" spans="1:17" ht="68" x14ac:dyDescent="0.2">
      <c r="A1542" t="s">
        <v>189</v>
      </c>
      <c r="B1542" t="s">
        <v>139</v>
      </c>
      <c r="C1542" t="s">
        <v>16</v>
      </c>
      <c r="D1542" s="3">
        <v>44299</v>
      </c>
      <c r="E1542" s="1">
        <v>44299.667569444442</v>
      </c>
      <c r="F1542" t="s">
        <v>17</v>
      </c>
      <c r="G1542" t="s">
        <v>49</v>
      </c>
      <c r="H1542" s="1">
        <v>44299.63958333333</v>
      </c>
      <c r="I1542" s="1">
        <v>44299.666666666664</v>
      </c>
      <c r="J1542" s="4">
        <f t="shared" si="24"/>
        <v>2.7083333334303461E-2</v>
      </c>
      <c r="K1542" t="s">
        <v>196</v>
      </c>
      <c r="M1542">
        <v>0</v>
      </c>
      <c r="N1542" s="6">
        <v>0</v>
      </c>
      <c r="Q1542" s="2" t="s">
        <v>19</v>
      </c>
    </row>
    <row r="1543" spans="1:17" ht="68" x14ac:dyDescent="0.2">
      <c r="A1543" t="s">
        <v>189</v>
      </c>
      <c r="B1543" t="s">
        <v>139</v>
      </c>
      <c r="C1543" t="s">
        <v>16</v>
      </c>
      <c r="D1543" s="3">
        <v>44300</v>
      </c>
      <c r="E1543" s="1">
        <v>44300.490636574075</v>
      </c>
      <c r="F1543" t="s">
        <v>17</v>
      </c>
      <c r="G1543" t="s">
        <v>50</v>
      </c>
      <c r="H1543" s="1">
        <v>44300.375</v>
      </c>
      <c r="I1543" s="1">
        <v>44300.489583333336</v>
      </c>
      <c r="J1543" s="4">
        <f t="shared" si="24"/>
        <v>0.11458333333575865</v>
      </c>
      <c r="K1543" t="s">
        <v>197</v>
      </c>
      <c r="M1543">
        <v>0</v>
      </c>
      <c r="N1543" s="6">
        <v>0</v>
      </c>
      <c r="Q1543" s="2" t="s">
        <v>19</v>
      </c>
    </row>
    <row r="1544" spans="1:17" ht="68" x14ac:dyDescent="0.2">
      <c r="A1544" t="s">
        <v>189</v>
      </c>
      <c r="B1544" t="s">
        <v>139</v>
      </c>
      <c r="C1544" t="s">
        <v>16</v>
      </c>
      <c r="D1544" s="3">
        <v>44300</v>
      </c>
      <c r="E1544" s="1">
        <v>44300.669525462959</v>
      </c>
      <c r="F1544" t="s">
        <v>17</v>
      </c>
      <c r="G1544" t="s">
        <v>51</v>
      </c>
      <c r="H1544" s="1">
        <v>44300.552083333336</v>
      </c>
      <c r="I1544" s="1">
        <v>44300.666666666664</v>
      </c>
      <c r="J1544" s="4">
        <f t="shared" si="24"/>
        <v>0.11458333332848269</v>
      </c>
      <c r="K1544" t="s">
        <v>198</v>
      </c>
      <c r="M1544">
        <v>0</v>
      </c>
      <c r="N1544" s="6">
        <v>0</v>
      </c>
      <c r="Q1544" s="2" t="s">
        <v>19</v>
      </c>
    </row>
    <row r="1545" spans="1:17" ht="68" x14ac:dyDescent="0.2">
      <c r="A1545" t="s">
        <v>189</v>
      </c>
      <c r="B1545" t="s">
        <v>139</v>
      </c>
      <c r="C1545" t="s">
        <v>16</v>
      </c>
      <c r="D1545" s="3">
        <v>44301</v>
      </c>
      <c r="E1545" s="1">
        <v>44301.38962962963</v>
      </c>
      <c r="F1545" t="s">
        <v>17</v>
      </c>
      <c r="G1545" t="s">
        <v>52</v>
      </c>
      <c r="H1545" s="1">
        <v>44301.375</v>
      </c>
      <c r="I1545" s="1">
        <v>44301.510416666664</v>
      </c>
      <c r="J1545" s="4">
        <f t="shared" si="24"/>
        <v>0.13541666666424135</v>
      </c>
      <c r="K1545" t="s">
        <v>192</v>
      </c>
      <c r="M1545">
        <v>4</v>
      </c>
      <c r="N1545" s="6">
        <v>0</v>
      </c>
      <c r="Q1545" s="2" t="s">
        <v>19</v>
      </c>
    </row>
    <row r="1546" spans="1:17" ht="68" x14ac:dyDescent="0.2">
      <c r="A1546" t="s">
        <v>189</v>
      </c>
      <c r="B1546" t="s">
        <v>139</v>
      </c>
      <c r="C1546" t="s">
        <v>16</v>
      </c>
      <c r="D1546" s="3">
        <v>44301</v>
      </c>
      <c r="E1546" s="1">
        <v>44301.664178240739</v>
      </c>
      <c r="F1546" t="s">
        <v>17</v>
      </c>
      <c r="G1546" t="s">
        <v>37</v>
      </c>
      <c r="H1546" s="1">
        <v>44301.53125</v>
      </c>
      <c r="I1546" s="1">
        <v>44301.666666666664</v>
      </c>
      <c r="J1546" s="4">
        <f t="shared" si="24"/>
        <v>0.13541666666424135</v>
      </c>
      <c r="K1546" t="s">
        <v>192</v>
      </c>
      <c r="M1546">
        <v>1</v>
      </c>
      <c r="N1546" s="6">
        <v>0</v>
      </c>
      <c r="Q1546" s="2" t="s">
        <v>19</v>
      </c>
    </row>
    <row r="1547" spans="1:17" ht="68" x14ac:dyDescent="0.2">
      <c r="A1547" t="s">
        <v>189</v>
      </c>
      <c r="B1547" t="s">
        <v>139</v>
      </c>
      <c r="C1547" t="s">
        <v>16</v>
      </c>
      <c r="D1547" s="3">
        <v>44302</v>
      </c>
      <c r="E1547" s="1">
        <v>44302.489027777781</v>
      </c>
      <c r="F1547" t="s">
        <v>17</v>
      </c>
      <c r="G1547" t="s">
        <v>53</v>
      </c>
      <c r="H1547" s="1">
        <v>44302.395833333336</v>
      </c>
      <c r="I1547" s="1">
        <v>44302.489583333336</v>
      </c>
      <c r="J1547" s="4">
        <f t="shared" si="24"/>
        <v>9.375E-2</v>
      </c>
      <c r="K1547" t="s">
        <v>199</v>
      </c>
      <c r="M1547">
        <v>8</v>
      </c>
      <c r="N1547" s="6">
        <v>0</v>
      </c>
      <c r="Q1547" s="2" t="s">
        <v>19</v>
      </c>
    </row>
    <row r="1548" spans="1:17" ht="68" x14ac:dyDescent="0.2">
      <c r="A1548" t="s">
        <v>189</v>
      </c>
      <c r="B1548" t="s">
        <v>139</v>
      </c>
      <c r="C1548" t="s">
        <v>16</v>
      </c>
      <c r="D1548" s="3">
        <v>44302</v>
      </c>
      <c r="E1548" s="1">
        <v>44302.562604166669</v>
      </c>
      <c r="F1548" t="s">
        <v>17</v>
      </c>
      <c r="G1548" t="s">
        <v>54</v>
      </c>
      <c r="H1548" s="1">
        <v>44302.53125</v>
      </c>
      <c r="I1548" s="1">
        <v>44302.666666666664</v>
      </c>
      <c r="J1548" s="4">
        <f t="shared" si="24"/>
        <v>0.13541666666424135</v>
      </c>
      <c r="K1548" t="s">
        <v>195</v>
      </c>
      <c r="M1548">
        <v>2</v>
      </c>
      <c r="N1548" s="6">
        <v>0</v>
      </c>
      <c r="Q1548" s="2" t="s">
        <v>19</v>
      </c>
    </row>
    <row r="1549" spans="1:17" ht="68" x14ac:dyDescent="0.2">
      <c r="A1549" t="s">
        <v>189</v>
      </c>
      <c r="B1549" t="s">
        <v>139</v>
      </c>
      <c r="C1549" t="s">
        <v>16</v>
      </c>
      <c r="D1549" s="3">
        <v>44302</v>
      </c>
      <c r="E1549" s="1">
        <v>44302.658182870371</v>
      </c>
      <c r="F1549" t="s">
        <v>17</v>
      </c>
      <c r="G1549" t="s">
        <v>54</v>
      </c>
      <c r="H1549" s="1">
        <v>44302.53125</v>
      </c>
      <c r="I1549" s="1">
        <v>44302.666666666664</v>
      </c>
      <c r="J1549" s="4">
        <f t="shared" si="24"/>
        <v>0.13541666666424135</v>
      </c>
      <c r="K1549" t="s">
        <v>195</v>
      </c>
      <c r="M1549">
        <v>0</v>
      </c>
      <c r="N1549" s="6">
        <v>0</v>
      </c>
      <c r="Q1549" s="2" t="s">
        <v>19</v>
      </c>
    </row>
    <row r="1550" spans="1:17" ht="68" x14ac:dyDescent="0.2">
      <c r="A1550" t="s">
        <v>189</v>
      </c>
      <c r="B1550" t="s">
        <v>139</v>
      </c>
      <c r="C1550" t="s">
        <v>16</v>
      </c>
      <c r="D1550" s="3">
        <v>44307</v>
      </c>
      <c r="E1550" s="1">
        <v>44307.489131944443</v>
      </c>
      <c r="F1550" t="s">
        <v>17</v>
      </c>
      <c r="G1550" t="s">
        <v>36</v>
      </c>
      <c r="H1550" s="1">
        <v>44307.375</v>
      </c>
      <c r="I1550" s="1">
        <v>44307.489583333336</v>
      </c>
      <c r="J1550" s="4">
        <f t="shared" si="24"/>
        <v>0.11458333333575865</v>
      </c>
      <c r="K1550" t="s">
        <v>197</v>
      </c>
      <c r="M1550">
        <v>1</v>
      </c>
      <c r="N1550" s="6">
        <v>0</v>
      </c>
      <c r="Q1550" s="2" t="s">
        <v>19</v>
      </c>
    </row>
    <row r="1551" spans="1:17" ht="68" x14ac:dyDescent="0.2">
      <c r="A1551" t="s">
        <v>189</v>
      </c>
      <c r="B1551" t="s">
        <v>139</v>
      </c>
      <c r="C1551" t="s">
        <v>16</v>
      </c>
      <c r="D1551" s="3">
        <v>44307</v>
      </c>
      <c r="E1551" s="1">
        <v>44307.649826388886</v>
      </c>
      <c r="F1551" t="s">
        <v>17</v>
      </c>
      <c r="G1551" t="s">
        <v>37</v>
      </c>
      <c r="H1551" s="1">
        <v>44307.53125</v>
      </c>
      <c r="I1551" s="1">
        <v>44307.666666666664</v>
      </c>
      <c r="J1551" s="4">
        <f t="shared" si="24"/>
        <v>0.13541666666424135</v>
      </c>
      <c r="K1551" t="s">
        <v>195</v>
      </c>
      <c r="M1551">
        <v>3</v>
      </c>
      <c r="N1551" s="6">
        <v>0</v>
      </c>
      <c r="Q1551" s="2" t="s">
        <v>19</v>
      </c>
    </row>
    <row r="1552" spans="1:17" ht="68" x14ac:dyDescent="0.2">
      <c r="A1552" t="s">
        <v>189</v>
      </c>
      <c r="B1552" t="s">
        <v>139</v>
      </c>
      <c r="C1552" t="s">
        <v>16</v>
      </c>
      <c r="D1552" s="3">
        <v>44308</v>
      </c>
      <c r="E1552" s="1">
        <v>44308.472233796296</v>
      </c>
      <c r="F1552" t="s">
        <v>17</v>
      </c>
      <c r="G1552" t="s">
        <v>55</v>
      </c>
      <c r="H1552" s="1">
        <v>44308.375</v>
      </c>
      <c r="I1552" s="1">
        <v>44308.510416666664</v>
      </c>
      <c r="J1552" s="4">
        <f t="shared" si="24"/>
        <v>0.13541666666424135</v>
      </c>
      <c r="K1552" t="s">
        <v>200</v>
      </c>
      <c r="M1552">
        <v>3</v>
      </c>
      <c r="N1552" s="6">
        <v>0</v>
      </c>
      <c r="Q1552" s="2" t="s">
        <v>19</v>
      </c>
    </row>
    <row r="1553" spans="1:17" ht="68" x14ac:dyDescent="0.2">
      <c r="A1553" t="s">
        <v>189</v>
      </c>
      <c r="B1553" t="s">
        <v>139</v>
      </c>
      <c r="C1553" t="s">
        <v>16</v>
      </c>
      <c r="D1553" s="3">
        <v>44308</v>
      </c>
      <c r="E1553" s="1">
        <v>44308.503877314812</v>
      </c>
      <c r="F1553" t="s">
        <v>17</v>
      </c>
      <c r="G1553" t="s">
        <v>55</v>
      </c>
      <c r="H1553" s="1">
        <v>44308.375</v>
      </c>
      <c r="I1553" s="1">
        <v>44308.510416666664</v>
      </c>
      <c r="J1553" s="4">
        <f t="shared" si="24"/>
        <v>0.13541666666424135</v>
      </c>
      <c r="K1553" t="s">
        <v>200</v>
      </c>
      <c r="M1553">
        <v>3</v>
      </c>
      <c r="N1553" s="6">
        <v>0</v>
      </c>
      <c r="Q1553" s="2" t="s">
        <v>19</v>
      </c>
    </row>
    <row r="1554" spans="1:17" ht="68" x14ac:dyDescent="0.2">
      <c r="A1554" t="s">
        <v>189</v>
      </c>
      <c r="B1554" t="s">
        <v>139</v>
      </c>
      <c r="C1554" t="s">
        <v>16</v>
      </c>
      <c r="D1554" s="3">
        <v>44308</v>
      </c>
      <c r="E1554" s="1">
        <v>44308.577430555553</v>
      </c>
      <c r="F1554" t="s">
        <v>17</v>
      </c>
      <c r="G1554" t="s">
        <v>56</v>
      </c>
      <c r="H1554" s="1">
        <v>44308.541666666664</v>
      </c>
      <c r="I1554" s="1">
        <v>44308.666666666664</v>
      </c>
      <c r="J1554" s="4">
        <f t="shared" si="24"/>
        <v>0.125</v>
      </c>
      <c r="K1554" t="s">
        <v>192</v>
      </c>
      <c r="M1554">
        <v>5</v>
      </c>
      <c r="N1554" s="6">
        <v>0</v>
      </c>
      <c r="Q1554" s="2" t="s">
        <v>19</v>
      </c>
    </row>
    <row r="1555" spans="1:17" ht="68" x14ac:dyDescent="0.2">
      <c r="A1555" t="s">
        <v>189</v>
      </c>
      <c r="B1555" t="s">
        <v>139</v>
      </c>
      <c r="C1555" t="s">
        <v>16</v>
      </c>
      <c r="D1555" s="3">
        <v>44312</v>
      </c>
      <c r="E1555" s="1">
        <v>44312.509305555555</v>
      </c>
      <c r="F1555" t="s">
        <v>17</v>
      </c>
      <c r="G1555" t="s">
        <v>44</v>
      </c>
      <c r="H1555" s="1">
        <v>44312.375</v>
      </c>
      <c r="I1555" s="1">
        <v>44312.510416666664</v>
      </c>
      <c r="J1555" s="4">
        <f t="shared" si="24"/>
        <v>0.13541666666424135</v>
      </c>
      <c r="K1555" t="s">
        <v>201</v>
      </c>
      <c r="M1555">
        <v>5</v>
      </c>
      <c r="N1555" s="6">
        <v>0</v>
      </c>
      <c r="Q1555" s="2" t="s">
        <v>19</v>
      </c>
    </row>
    <row r="1556" spans="1:17" ht="68" x14ac:dyDescent="0.2">
      <c r="A1556" t="s">
        <v>189</v>
      </c>
      <c r="B1556" t="s">
        <v>139</v>
      </c>
      <c r="C1556" t="s">
        <v>16</v>
      </c>
      <c r="D1556" s="3">
        <v>44312</v>
      </c>
      <c r="E1556" s="1">
        <v>44312.658993055556</v>
      </c>
      <c r="F1556" t="s">
        <v>17</v>
      </c>
      <c r="G1556" t="s">
        <v>57</v>
      </c>
      <c r="H1556" s="1">
        <v>44312.53125</v>
      </c>
      <c r="I1556" s="1">
        <v>44312.666666666664</v>
      </c>
      <c r="J1556" s="4">
        <f t="shared" si="24"/>
        <v>0.13541666666424135</v>
      </c>
      <c r="K1556" t="s">
        <v>195</v>
      </c>
      <c r="M1556">
        <v>2</v>
      </c>
      <c r="N1556" s="6">
        <v>0</v>
      </c>
      <c r="Q1556" s="2" t="s">
        <v>19</v>
      </c>
    </row>
    <row r="1557" spans="1:17" ht="68" x14ac:dyDescent="0.2">
      <c r="A1557" t="s">
        <v>189</v>
      </c>
      <c r="B1557" t="s">
        <v>139</v>
      </c>
      <c r="C1557" t="s">
        <v>16</v>
      </c>
      <c r="D1557" s="3">
        <v>44313</v>
      </c>
      <c r="E1557" s="1">
        <v>44313.487905092596</v>
      </c>
      <c r="F1557" t="s">
        <v>17</v>
      </c>
      <c r="G1557" t="s">
        <v>55</v>
      </c>
      <c r="H1557" s="1">
        <v>44313.375</v>
      </c>
      <c r="I1557" s="1">
        <v>44313.489583333336</v>
      </c>
      <c r="J1557" s="4">
        <f t="shared" si="24"/>
        <v>0.11458333333575865</v>
      </c>
      <c r="K1557" t="s">
        <v>200</v>
      </c>
      <c r="M1557">
        <v>2</v>
      </c>
      <c r="N1557" s="6">
        <v>0</v>
      </c>
      <c r="Q1557" s="2" t="s">
        <v>19</v>
      </c>
    </row>
    <row r="1558" spans="1:17" ht="68" x14ac:dyDescent="0.2">
      <c r="A1558" t="s">
        <v>189</v>
      </c>
      <c r="B1558" t="s">
        <v>139</v>
      </c>
      <c r="C1558" t="s">
        <v>16</v>
      </c>
      <c r="D1558" s="3">
        <v>44313</v>
      </c>
      <c r="E1558" s="1">
        <v>44313.539594907408</v>
      </c>
      <c r="F1558" t="s">
        <v>17</v>
      </c>
      <c r="G1558" t="s">
        <v>37</v>
      </c>
      <c r="H1558" s="1">
        <v>44313.53125</v>
      </c>
      <c r="I1558" s="1">
        <v>44313.541666666664</v>
      </c>
      <c r="J1558" s="4">
        <f t="shared" si="24"/>
        <v>1.0416666664241347E-2</v>
      </c>
      <c r="K1558" t="s">
        <v>202</v>
      </c>
      <c r="M1558">
        <v>0</v>
      </c>
      <c r="N1558" s="6">
        <v>0</v>
      </c>
      <c r="Q1558" s="2" t="s">
        <v>19</v>
      </c>
    </row>
    <row r="1559" spans="1:17" ht="68" x14ac:dyDescent="0.2">
      <c r="A1559" t="s">
        <v>189</v>
      </c>
      <c r="B1559" t="s">
        <v>139</v>
      </c>
      <c r="C1559" t="s">
        <v>16</v>
      </c>
      <c r="D1559" s="3">
        <v>44313</v>
      </c>
      <c r="E1559" s="1">
        <v>44313.569074074076</v>
      </c>
      <c r="F1559" t="s">
        <v>17</v>
      </c>
      <c r="G1559" t="s">
        <v>58</v>
      </c>
      <c r="H1559" s="1">
        <v>44313.541666666664</v>
      </c>
      <c r="I1559" s="1">
        <v>44313.666666666664</v>
      </c>
      <c r="J1559" s="4">
        <f t="shared" si="24"/>
        <v>0.125</v>
      </c>
      <c r="K1559" t="s">
        <v>192</v>
      </c>
      <c r="M1559">
        <v>4</v>
      </c>
      <c r="N1559" s="6">
        <v>0</v>
      </c>
      <c r="Q1559" s="2" t="s">
        <v>19</v>
      </c>
    </row>
    <row r="1560" spans="1:17" ht="68" x14ac:dyDescent="0.2">
      <c r="A1560" t="s">
        <v>189</v>
      </c>
      <c r="B1560" t="s">
        <v>139</v>
      </c>
      <c r="C1560" t="s">
        <v>16</v>
      </c>
      <c r="D1560" s="3">
        <v>44314</v>
      </c>
      <c r="E1560" s="1">
        <v>44314.491747685184</v>
      </c>
      <c r="F1560" t="s">
        <v>17</v>
      </c>
      <c r="G1560" t="s">
        <v>53</v>
      </c>
      <c r="H1560" s="1">
        <v>44314.375</v>
      </c>
      <c r="I1560" s="1">
        <v>44314.489583333336</v>
      </c>
      <c r="J1560" s="4">
        <f t="shared" si="24"/>
        <v>0.11458333333575865</v>
      </c>
      <c r="K1560" t="s">
        <v>203</v>
      </c>
      <c r="M1560">
        <v>4</v>
      </c>
      <c r="N1560" s="6">
        <v>0</v>
      </c>
      <c r="Q1560" s="2" t="s">
        <v>19</v>
      </c>
    </row>
    <row r="1561" spans="1:17" ht="68" x14ac:dyDescent="0.2">
      <c r="A1561" t="s">
        <v>189</v>
      </c>
      <c r="B1561" t="s">
        <v>139</v>
      </c>
      <c r="C1561" t="s">
        <v>16</v>
      </c>
      <c r="D1561" s="3">
        <v>44314</v>
      </c>
      <c r="E1561" s="1">
        <v>44314.497476851851</v>
      </c>
      <c r="F1561" t="s">
        <v>17</v>
      </c>
      <c r="G1561" t="s">
        <v>53</v>
      </c>
      <c r="H1561" s="1">
        <v>44314.375</v>
      </c>
      <c r="I1561" s="1">
        <v>44314.489583333336</v>
      </c>
      <c r="J1561" s="4">
        <f t="shared" si="24"/>
        <v>0.11458333333575865</v>
      </c>
      <c r="K1561" t="s">
        <v>203</v>
      </c>
      <c r="M1561">
        <v>0</v>
      </c>
      <c r="N1561" s="6">
        <v>0</v>
      </c>
      <c r="Q1561" s="2" t="s">
        <v>19</v>
      </c>
    </row>
    <row r="1562" spans="1:17" ht="68" x14ac:dyDescent="0.2">
      <c r="A1562" t="s">
        <v>189</v>
      </c>
      <c r="B1562" t="s">
        <v>139</v>
      </c>
      <c r="C1562" t="s">
        <v>16</v>
      </c>
      <c r="D1562" s="3">
        <v>44314</v>
      </c>
      <c r="E1562" s="1">
        <v>44314.656157407408</v>
      </c>
      <c r="F1562" t="s">
        <v>17</v>
      </c>
      <c r="G1562" t="s">
        <v>59</v>
      </c>
      <c r="H1562" s="1">
        <v>44314.53125</v>
      </c>
      <c r="I1562" s="1">
        <v>44314.666666666664</v>
      </c>
      <c r="J1562" s="4">
        <f t="shared" si="24"/>
        <v>0.13541666666424135</v>
      </c>
      <c r="K1562" t="s">
        <v>195</v>
      </c>
      <c r="M1562">
        <v>4</v>
      </c>
      <c r="N1562" s="6">
        <v>0</v>
      </c>
      <c r="Q1562" s="2" t="s">
        <v>19</v>
      </c>
    </row>
    <row r="1563" spans="1:17" ht="68" x14ac:dyDescent="0.2">
      <c r="A1563" t="s">
        <v>189</v>
      </c>
      <c r="B1563" t="s">
        <v>139</v>
      </c>
      <c r="C1563" t="s">
        <v>16</v>
      </c>
      <c r="D1563" s="3">
        <v>44315</v>
      </c>
      <c r="E1563" s="1">
        <v>44315.486689814818</v>
      </c>
      <c r="F1563" t="s">
        <v>17</v>
      </c>
      <c r="G1563" t="s">
        <v>43</v>
      </c>
      <c r="H1563" s="1">
        <v>44315.375</v>
      </c>
      <c r="I1563" s="1">
        <v>44315.489583333336</v>
      </c>
      <c r="J1563" s="4">
        <f t="shared" si="24"/>
        <v>0.11458333333575865</v>
      </c>
      <c r="K1563" t="s">
        <v>200</v>
      </c>
      <c r="M1563">
        <v>4</v>
      </c>
      <c r="N1563" s="6">
        <v>0</v>
      </c>
      <c r="Q1563" s="2" t="s">
        <v>19</v>
      </c>
    </row>
    <row r="1564" spans="1:17" ht="68" x14ac:dyDescent="0.2">
      <c r="A1564" t="s">
        <v>189</v>
      </c>
      <c r="B1564" t="s">
        <v>139</v>
      </c>
      <c r="C1564" t="s">
        <v>16</v>
      </c>
      <c r="D1564" s="3">
        <v>44315</v>
      </c>
      <c r="E1564" s="1">
        <v>44315.542534722219</v>
      </c>
      <c r="F1564" t="s">
        <v>17</v>
      </c>
      <c r="G1564" t="s">
        <v>35</v>
      </c>
      <c r="H1564" s="1">
        <v>44315.53125</v>
      </c>
      <c r="I1564" s="1">
        <v>44315.541666666664</v>
      </c>
      <c r="J1564" s="4">
        <f t="shared" si="24"/>
        <v>1.0416666664241347E-2</v>
      </c>
      <c r="K1564" t="s">
        <v>202</v>
      </c>
      <c r="M1564">
        <v>0</v>
      </c>
      <c r="N1564" s="6">
        <v>0</v>
      </c>
      <c r="Q1564" s="2" t="s">
        <v>19</v>
      </c>
    </row>
    <row r="1565" spans="1:17" ht="68" x14ac:dyDescent="0.2">
      <c r="A1565" t="s">
        <v>189</v>
      </c>
      <c r="B1565" t="s">
        <v>139</v>
      </c>
      <c r="C1565" t="s">
        <v>16</v>
      </c>
      <c r="D1565" s="3">
        <v>44315</v>
      </c>
      <c r="E1565" s="1">
        <v>44315.571226851855</v>
      </c>
      <c r="F1565" t="s">
        <v>17</v>
      </c>
      <c r="G1565" t="s">
        <v>60</v>
      </c>
      <c r="H1565" s="1">
        <v>44315.541666666664</v>
      </c>
      <c r="I1565" s="1">
        <v>44315.666666666664</v>
      </c>
      <c r="J1565" s="4">
        <f t="shared" si="24"/>
        <v>0.125</v>
      </c>
      <c r="K1565" t="s">
        <v>192</v>
      </c>
      <c r="M1565">
        <v>2</v>
      </c>
      <c r="N1565" s="6">
        <v>0</v>
      </c>
      <c r="Q1565" s="2" t="s">
        <v>19</v>
      </c>
    </row>
    <row r="1566" spans="1:17" ht="68" x14ac:dyDescent="0.2">
      <c r="A1566" t="s">
        <v>189</v>
      </c>
      <c r="B1566" t="s">
        <v>139</v>
      </c>
      <c r="C1566" t="s">
        <v>16</v>
      </c>
      <c r="D1566" s="3">
        <v>44316</v>
      </c>
      <c r="E1566" s="1">
        <v>44316.502187500002</v>
      </c>
      <c r="F1566" t="s">
        <v>17</v>
      </c>
      <c r="G1566" t="s">
        <v>61</v>
      </c>
      <c r="H1566" s="1">
        <v>44316.375</v>
      </c>
      <c r="I1566" s="1">
        <v>44316.489583333336</v>
      </c>
      <c r="J1566" s="4">
        <f t="shared" si="24"/>
        <v>0.11458333333575865</v>
      </c>
      <c r="K1566" t="s">
        <v>204</v>
      </c>
      <c r="M1566">
        <v>0</v>
      </c>
      <c r="N1566" s="6">
        <v>0</v>
      </c>
      <c r="Q1566" s="2" t="s">
        <v>19</v>
      </c>
    </row>
    <row r="1567" spans="1:17" ht="68" x14ac:dyDescent="0.2">
      <c r="A1567" t="s">
        <v>189</v>
      </c>
      <c r="B1567" t="s">
        <v>139</v>
      </c>
      <c r="C1567" t="s">
        <v>16</v>
      </c>
      <c r="D1567" s="3">
        <v>44316</v>
      </c>
      <c r="E1567" s="1">
        <v>44316.616875</v>
      </c>
      <c r="F1567" t="s">
        <v>17</v>
      </c>
      <c r="G1567" t="s">
        <v>62</v>
      </c>
      <c r="H1567" s="1">
        <v>44316.510416666664</v>
      </c>
      <c r="I1567" s="1">
        <v>44316.65625</v>
      </c>
      <c r="J1567" s="4">
        <f t="shared" si="24"/>
        <v>0.14583333333575865</v>
      </c>
      <c r="K1567" t="s">
        <v>195</v>
      </c>
      <c r="M1567">
        <v>2</v>
      </c>
      <c r="N1567" s="6">
        <v>0</v>
      </c>
      <c r="Q1567" s="2" t="s">
        <v>19</v>
      </c>
    </row>
    <row r="1568" spans="1:17" ht="68" x14ac:dyDescent="0.2">
      <c r="A1568" t="s">
        <v>189</v>
      </c>
      <c r="B1568" t="s">
        <v>139</v>
      </c>
      <c r="C1568" t="s">
        <v>16</v>
      </c>
      <c r="D1568" s="3">
        <v>44319</v>
      </c>
      <c r="E1568" s="1">
        <v>44319.488877314812</v>
      </c>
      <c r="F1568" t="s">
        <v>17</v>
      </c>
      <c r="G1568" t="s">
        <v>63</v>
      </c>
      <c r="H1568" s="1">
        <v>44319.385416666664</v>
      </c>
      <c r="I1568" s="1">
        <v>44319.489583333336</v>
      </c>
      <c r="J1568" s="4">
        <f t="shared" si="24"/>
        <v>0.10416666667151731</v>
      </c>
      <c r="K1568" t="s">
        <v>199</v>
      </c>
      <c r="M1568">
        <v>5</v>
      </c>
      <c r="N1568" s="6">
        <v>0</v>
      </c>
      <c r="Q1568" s="2" t="s">
        <v>19</v>
      </c>
    </row>
    <row r="1569" spans="1:17" ht="68" x14ac:dyDescent="0.2">
      <c r="A1569" t="s">
        <v>189</v>
      </c>
      <c r="B1569" t="s">
        <v>139</v>
      </c>
      <c r="C1569" t="s">
        <v>16</v>
      </c>
      <c r="D1569" s="3">
        <v>44319</v>
      </c>
      <c r="E1569" s="1">
        <v>44319.654965277776</v>
      </c>
      <c r="F1569" t="s">
        <v>17</v>
      </c>
      <c r="G1569" t="s">
        <v>45</v>
      </c>
      <c r="H1569" s="1">
        <v>44319.53125</v>
      </c>
      <c r="I1569" s="1">
        <v>44319.666666666664</v>
      </c>
      <c r="J1569" s="4">
        <f t="shared" si="24"/>
        <v>0.13541666666424135</v>
      </c>
      <c r="K1569" t="s">
        <v>195</v>
      </c>
      <c r="M1569">
        <v>1</v>
      </c>
      <c r="N1569" s="6">
        <v>0</v>
      </c>
      <c r="Q1569" s="2" t="s">
        <v>19</v>
      </c>
    </row>
    <row r="1570" spans="1:17" ht="68" x14ac:dyDescent="0.2">
      <c r="A1570" t="s">
        <v>189</v>
      </c>
      <c r="B1570" t="s">
        <v>139</v>
      </c>
      <c r="C1570" t="s">
        <v>16</v>
      </c>
      <c r="D1570" s="3">
        <v>44320</v>
      </c>
      <c r="E1570" s="1">
        <v>44320.487199074072</v>
      </c>
      <c r="F1570" t="s">
        <v>17</v>
      </c>
      <c r="G1570" t="s">
        <v>64</v>
      </c>
      <c r="H1570" s="1">
        <v>44320.380555555559</v>
      </c>
      <c r="I1570" s="1">
        <v>44320.492361111108</v>
      </c>
      <c r="J1570" s="4">
        <f t="shared" si="24"/>
        <v>0.11180555554892635</v>
      </c>
      <c r="K1570" t="s">
        <v>205</v>
      </c>
      <c r="M1570">
        <v>2</v>
      </c>
      <c r="N1570" s="6">
        <v>0</v>
      </c>
      <c r="Q1570" s="2" t="s">
        <v>19</v>
      </c>
    </row>
    <row r="1571" spans="1:17" ht="68" x14ac:dyDescent="0.2">
      <c r="A1571" t="s">
        <v>189</v>
      </c>
      <c r="B1571" t="s">
        <v>139</v>
      </c>
      <c r="C1571" t="s">
        <v>16</v>
      </c>
      <c r="D1571" s="3">
        <v>44320</v>
      </c>
      <c r="E1571" s="1">
        <v>44320.551238425927</v>
      </c>
      <c r="F1571" t="s">
        <v>17</v>
      </c>
      <c r="G1571" t="s">
        <v>65</v>
      </c>
      <c r="H1571" s="1">
        <v>44320.541666666664</v>
      </c>
      <c r="I1571" s="1">
        <v>44320.645833333336</v>
      </c>
      <c r="J1571" s="4">
        <f t="shared" si="24"/>
        <v>0.10416666667151731</v>
      </c>
      <c r="K1571" t="s">
        <v>192</v>
      </c>
      <c r="M1571">
        <v>6</v>
      </c>
      <c r="N1571" s="6">
        <v>0</v>
      </c>
      <c r="Q1571" s="2" t="s">
        <v>19</v>
      </c>
    </row>
    <row r="1572" spans="1:17" ht="68" x14ac:dyDescent="0.2">
      <c r="A1572" t="s">
        <v>189</v>
      </c>
      <c r="B1572" t="s">
        <v>139</v>
      </c>
      <c r="C1572" t="s">
        <v>16</v>
      </c>
      <c r="D1572" s="3">
        <v>44321</v>
      </c>
      <c r="E1572" s="1">
        <v>44321.406666666669</v>
      </c>
      <c r="F1572" t="s">
        <v>17</v>
      </c>
      <c r="G1572" t="s">
        <v>36</v>
      </c>
      <c r="H1572" s="1">
        <v>44321.395833333336</v>
      </c>
      <c r="I1572" s="1">
        <v>44321.489583333336</v>
      </c>
      <c r="J1572" s="4">
        <f t="shared" si="24"/>
        <v>9.375E-2</v>
      </c>
      <c r="K1572" t="s">
        <v>206</v>
      </c>
      <c r="M1572">
        <v>5</v>
      </c>
      <c r="N1572" s="6">
        <v>0</v>
      </c>
      <c r="Q1572" s="2" t="s">
        <v>19</v>
      </c>
    </row>
    <row r="1573" spans="1:17" ht="68" x14ac:dyDescent="0.2">
      <c r="A1573" t="s">
        <v>189</v>
      </c>
      <c r="B1573" t="s">
        <v>139</v>
      </c>
      <c r="C1573" t="s">
        <v>16</v>
      </c>
      <c r="D1573" s="3">
        <v>44321</v>
      </c>
      <c r="E1573" s="1">
        <v>44321.658715277779</v>
      </c>
      <c r="F1573" t="s">
        <v>17</v>
      </c>
      <c r="G1573" t="s">
        <v>66</v>
      </c>
      <c r="H1573" s="1">
        <v>44321.510416666664</v>
      </c>
      <c r="I1573" s="1">
        <v>44321.666666666664</v>
      </c>
      <c r="J1573" s="4">
        <f t="shared" si="24"/>
        <v>0.15625</v>
      </c>
      <c r="K1573" t="s">
        <v>195</v>
      </c>
      <c r="M1573">
        <v>4</v>
      </c>
      <c r="N1573" s="6">
        <v>0</v>
      </c>
      <c r="Q1573" s="2" t="s">
        <v>19</v>
      </c>
    </row>
    <row r="1574" spans="1:17" ht="68" x14ac:dyDescent="0.2">
      <c r="A1574" t="s">
        <v>189</v>
      </c>
      <c r="B1574" t="s">
        <v>139</v>
      </c>
      <c r="C1574" t="s">
        <v>16</v>
      </c>
      <c r="D1574" s="3">
        <v>44323</v>
      </c>
      <c r="E1574" s="1">
        <v>44323.404236111113</v>
      </c>
      <c r="F1574" t="s">
        <v>17</v>
      </c>
      <c r="G1574" t="s">
        <v>61</v>
      </c>
      <c r="H1574" s="1">
        <v>44323.375</v>
      </c>
      <c r="I1574" s="1">
        <v>44323.489583333336</v>
      </c>
      <c r="J1574" s="4">
        <f t="shared" si="24"/>
        <v>0.11458333333575865</v>
      </c>
      <c r="K1574" t="s">
        <v>206</v>
      </c>
      <c r="M1574">
        <v>1</v>
      </c>
      <c r="N1574" s="6">
        <v>0</v>
      </c>
      <c r="Q1574" s="2" t="s">
        <v>19</v>
      </c>
    </row>
    <row r="1575" spans="1:17" ht="68" x14ac:dyDescent="0.2">
      <c r="A1575" t="s">
        <v>189</v>
      </c>
      <c r="B1575" t="s">
        <v>139</v>
      </c>
      <c r="C1575" t="s">
        <v>16</v>
      </c>
      <c r="D1575" s="3">
        <v>44323</v>
      </c>
      <c r="E1575" s="1">
        <v>44323.51667824074</v>
      </c>
      <c r="F1575" t="s">
        <v>17</v>
      </c>
      <c r="G1575" t="s">
        <v>67</v>
      </c>
      <c r="H1575" s="1">
        <v>44323.510416666664</v>
      </c>
      <c r="I1575" s="1">
        <v>44323.666666666664</v>
      </c>
      <c r="J1575" s="4">
        <f t="shared" si="24"/>
        <v>0.15625</v>
      </c>
      <c r="K1575" t="s">
        <v>207</v>
      </c>
      <c r="M1575">
        <v>5</v>
      </c>
      <c r="N1575" s="6">
        <v>0</v>
      </c>
      <c r="Q1575" s="2" t="s">
        <v>19</v>
      </c>
    </row>
    <row r="1576" spans="1:17" ht="68" x14ac:dyDescent="0.2">
      <c r="A1576" t="s">
        <v>189</v>
      </c>
      <c r="B1576" t="s">
        <v>139</v>
      </c>
      <c r="C1576" t="s">
        <v>16</v>
      </c>
      <c r="D1576" s="3">
        <v>44326</v>
      </c>
      <c r="E1576" s="1">
        <v>44326.489641203705</v>
      </c>
      <c r="F1576" t="s">
        <v>17</v>
      </c>
      <c r="G1576" t="s">
        <v>63</v>
      </c>
      <c r="H1576" s="1">
        <v>44326.375</v>
      </c>
      <c r="I1576" s="1">
        <v>44326.489583333336</v>
      </c>
      <c r="J1576" s="4">
        <f t="shared" si="24"/>
        <v>0.11458333333575865</v>
      </c>
      <c r="K1576" t="s">
        <v>199</v>
      </c>
      <c r="M1576">
        <v>2</v>
      </c>
      <c r="N1576" s="6">
        <v>0</v>
      </c>
      <c r="Q1576" s="2" t="s">
        <v>19</v>
      </c>
    </row>
    <row r="1577" spans="1:17" ht="68" x14ac:dyDescent="0.2">
      <c r="A1577" t="s">
        <v>189</v>
      </c>
      <c r="B1577" t="s">
        <v>139</v>
      </c>
      <c r="C1577" t="s">
        <v>16</v>
      </c>
      <c r="D1577" s="3">
        <v>44326</v>
      </c>
      <c r="E1577" s="1">
        <v>44326.649039351854</v>
      </c>
      <c r="F1577" t="s">
        <v>17</v>
      </c>
      <c r="G1577" t="s">
        <v>59</v>
      </c>
      <c r="H1577" s="1">
        <v>44326.53125</v>
      </c>
      <c r="I1577" s="1">
        <v>44326.666666666664</v>
      </c>
      <c r="J1577" s="4">
        <f t="shared" si="24"/>
        <v>0.13541666666424135</v>
      </c>
      <c r="K1577" t="s">
        <v>195</v>
      </c>
      <c r="M1577">
        <v>3</v>
      </c>
      <c r="N1577" s="6">
        <v>0</v>
      </c>
      <c r="Q1577" s="2" t="s">
        <v>19</v>
      </c>
    </row>
    <row r="1578" spans="1:17" ht="68" x14ac:dyDescent="0.2">
      <c r="A1578" t="s">
        <v>189</v>
      </c>
      <c r="B1578" t="s">
        <v>139</v>
      </c>
      <c r="C1578" t="s">
        <v>16</v>
      </c>
      <c r="D1578" s="3">
        <v>44327</v>
      </c>
      <c r="E1578" s="1">
        <v>44327.470925925925</v>
      </c>
      <c r="F1578" t="s">
        <v>17</v>
      </c>
      <c r="G1578" t="s">
        <v>39</v>
      </c>
      <c r="H1578" s="1">
        <v>44327.375</v>
      </c>
      <c r="I1578" s="1">
        <v>44327.489583333336</v>
      </c>
      <c r="J1578" s="4">
        <f t="shared" si="24"/>
        <v>0.11458333333575865</v>
      </c>
      <c r="K1578" t="s">
        <v>190</v>
      </c>
      <c r="M1578">
        <v>2</v>
      </c>
      <c r="N1578" s="6">
        <v>0</v>
      </c>
      <c r="Q1578" s="2" t="s">
        <v>19</v>
      </c>
    </row>
    <row r="1579" spans="1:17" ht="68" x14ac:dyDescent="0.2">
      <c r="A1579" t="s">
        <v>189</v>
      </c>
      <c r="B1579" t="s">
        <v>139</v>
      </c>
      <c r="C1579" t="s">
        <v>16</v>
      </c>
      <c r="D1579" s="3">
        <v>44327</v>
      </c>
      <c r="E1579" s="1">
        <v>44327.55909722222</v>
      </c>
      <c r="F1579" t="s">
        <v>17</v>
      </c>
      <c r="G1579" t="s">
        <v>68</v>
      </c>
      <c r="H1579" s="1">
        <v>44327.541666666664</v>
      </c>
      <c r="I1579" s="1">
        <v>44327.583333333336</v>
      </c>
      <c r="J1579" s="4">
        <f t="shared" si="24"/>
        <v>4.1666666671517305E-2</v>
      </c>
      <c r="K1579" t="s">
        <v>192</v>
      </c>
      <c r="M1579">
        <v>4</v>
      </c>
      <c r="N1579" s="6">
        <v>0</v>
      </c>
      <c r="Q1579" s="2" t="s">
        <v>19</v>
      </c>
    </row>
    <row r="1580" spans="1:17" ht="68" x14ac:dyDescent="0.2">
      <c r="A1580" t="s">
        <v>189</v>
      </c>
      <c r="B1580" t="s">
        <v>139</v>
      </c>
      <c r="C1580" t="s">
        <v>16</v>
      </c>
      <c r="D1580" s="3">
        <v>44328</v>
      </c>
      <c r="E1580" s="1">
        <v>44328.65697916667</v>
      </c>
      <c r="F1580" t="s">
        <v>17</v>
      </c>
      <c r="G1580" t="s">
        <v>45</v>
      </c>
      <c r="H1580" s="1">
        <v>44328.53125</v>
      </c>
      <c r="I1580" s="1">
        <v>44328.666666666664</v>
      </c>
      <c r="J1580" s="4">
        <f t="shared" si="24"/>
        <v>0.13541666666424135</v>
      </c>
      <c r="K1580" t="s">
        <v>195</v>
      </c>
      <c r="M1580">
        <v>5</v>
      </c>
      <c r="N1580" s="6">
        <v>0</v>
      </c>
      <c r="Q1580" s="2" t="s">
        <v>19</v>
      </c>
    </row>
    <row r="1581" spans="1:17" ht="68" x14ac:dyDescent="0.2">
      <c r="A1581" t="s">
        <v>189</v>
      </c>
      <c r="B1581" t="s">
        <v>139</v>
      </c>
      <c r="C1581" t="s">
        <v>16</v>
      </c>
      <c r="D1581" s="3">
        <v>44334</v>
      </c>
      <c r="E1581" s="1">
        <v>44334.486724537041</v>
      </c>
      <c r="F1581" t="s">
        <v>17</v>
      </c>
      <c r="G1581" t="s">
        <v>55</v>
      </c>
      <c r="H1581" s="1">
        <v>44334.375</v>
      </c>
      <c r="I1581" s="1">
        <v>44334.489583333336</v>
      </c>
      <c r="J1581" s="4">
        <f t="shared" si="24"/>
        <v>0.11458333333575865</v>
      </c>
      <c r="K1581" t="s">
        <v>200</v>
      </c>
      <c r="M1581">
        <v>4</v>
      </c>
      <c r="N1581" s="6">
        <v>0</v>
      </c>
      <c r="Q1581" s="2" t="s">
        <v>19</v>
      </c>
    </row>
    <row r="1582" spans="1:17" ht="68" x14ac:dyDescent="0.2">
      <c r="A1582" t="s">
        <v>189</v>
      </c>
      <c r="B1582" t="s">
        <v>139</v>
      </c>
      <c r="C1582" t="s">
        <v>16</v>
      </c>
      <c r="D1582" s="3">
        <v>44334</v>
      </c>
      <c r="E1582" s="1">
        <v>44334.668344907404</v>
      </c>
      <c r="F1582" t="s">
        <v>17</v>
      </c>
      <c r="G1582" t="s">
        <v>69</v>
      </c>
      <c r="H1582" s="1">
        <v>44334.541666666664</v>
      </c>
      <c r="I1582" s="1">
        <v>44334.666666666664</v>
      </c>
      <c r="J1582" s="4">
        <f t="shared" si="24"/>
        <v>0.125</v>
      </c>
      <c r="K1582" t="s">
        <v>192</v>
      </c>
      <c r="M1582">
        <v>1</v>
      </c>
      <c r="N1582" s="6">
        <v>0</v>
      </c>
      <c r="Q1582" s="2" t="s">
        <v>19</v>
      </c>
    </row>
    <row r="1583" spans="1:17" ht="68" x14ac:dyDescent="0.2">
      <c r="A1583" t="s">
        <v>189</v>
      </c>
      <c r="B1583" t="s">
        <v>139</v>
      </c>
      <c r="C1583" t="s">
        <v>16</v>
      </c>
      <c r="D1583" s="3">
        <v>44335</v>
      </c>
      <c r="E1583" s="1">
        <v>44335.575636574074</v>
      </c>
      <c r="F1583" t="s">
        <v>17</v>
      </c>
      <c r="G1583" t="s">
        <v>70</v>
      </c>
      <c r="H1583" s="1">
        <v>44335.53125</v>
      </c>
      <c r="I1583" s="1">
        <v>44335.65625</v>
      </c>
      <c r="J1583" s="4">
        <f t="shared" si="24"/>
        <v>0.125</v>
      </c>
      <c r="K1583" t="s">
        <v>200</v>
      </c>
      <c r="M1583">
        <v>7</v>
      </c>
      <c r="N1583" s="6">
        <v>0</v>
      </c>
      <c r="Q1583" s="2" t="s">
        <v>19</v>
      </c>
    </row>
    <row r="1584" spans="1:17" ht="68" x14ac:dyDescent="0.2">
      <c r="A1584" t="s">
        <v>189</v>
      </c>
      <c r="B1584" t="s">
        <v>139</v>
      </c>
      <c r="C1584" t="s">
        <v>16</v>
      </c>
      <c r="D1584" s="3">
        <v>44336</v>
      </c>
      <c r="E1584" s="1">
        <v>44336.488692129627</v>
      </c>
      <c r="F1584" t="s">
        <v>17</v>
      </c>
      <c r="G1584" t="s">
        <v>52</v>
      </c>
      <c r="H1584" s="1">
        <v>44336.375</v>
      </c>
      <c r="I1584" s="1">
        <v>44336.489583333336</v>
      </c>
      <c r="J1584" s="4">
        <f t="shared" si="24"/>
        <v>0.11458333333575865</v>
      </c>
      <c r="K1584" t="s">
        <v>200</v>
      </c>
      <c r="M1584">
        <v>3</v>
      </c>
      <c r="N1584" s="6">
        <v>0</v>
      </c>
      <c r="Q1584" s="2" t="s">
        <v>19</v>
      </c>
    </row>
    <row r="1585" spans="1:17" ht="68" x14ac:dyDescent="0.2">
      <c r="A1585" t="s">
        <v>189</v>
      </c>
      <c r="B1585" t="s">
        <v>139</v>
      </c>
      <c r="C1585" t="s">
        <v>16</v>
      </c>
      <c r="D1585" s="3">
        <v>44336</v>
      </c>
      <c r="E1585" s="1">
        <v>44336.656712962962</v>
      </c>
      <c r="F1585" t="s">
        <v>17</v>
      </c>
      <c r="G1585" t="s">
        <v>59</v>
      </c>
      <c r="H1585" s="1">
        <v>44336.53125</v>
      </c>
      <c r="I1585" s="1">
        <v>44336.65625</v>
      </c>
      <c r="J1585" s="4">
        <f t="shared" si="24"/>
        <v>0.125</v>
      </c>
      <c r="K1585" t="s">
        <v>192</v>
      </c>
      <c r="M1585">
        <v>1</v>
      </c>
      <c r="N1585" s="6">
        <v>0</v>
      </c>
      <c r="Q1585" s="2" t="s">
        <v>19</v>
      </c>
    </row>
    <row r="1586" spans="1:17" ht="68" x14ac:dyDescent="0.2">
      <c r="A1586" t="s">
        <v>189</v>
      </c>
      <c r="B1586" t="s">
        <v>139</v>
      </c>
      <c r="C1586" t="s">
        <v>16</v>
      </c>
      <c r="D1586" s="3">
        <v>44337</v>
      </c>
      <c r="E1586" s="1">
        <v>44337.485682870371</v>
      </c>
      <c r="F1586" t="s">
        <v>17</v>
      </c>
      <c r="G1586" t="s">
        <v>44</v>
      </c>
      <c r="H1586" s="1">
        <v>44337.375</v>
      </c>
      <c r="I1586" s="1">
        <v>44337.489583333336</v>
      </c>
      <c r="J1586" s="4">
        <f t="shared" si="24"/>
        <v>0.11458333333575865</v>
      </c>
      <c r="K1586" t="s">
        <v>199</v>
      </c>
      <c r="M1586">
        <v>0</v>
      </c>
      <c r="N1586" s="6">
        <v>0</v>
      </c>
      <c r="Q1586" s="2" t="s">
        <v>19</v>
      </c>
    </row>
    <row r="1587" spans="1:17" ht="68" x14ac:dyDescent="0.2">
      <c r="A1587" t="s">
        <v>189</v>
      </c>
      <c r="B1587" t="s">
        <v>139</v>
      </c>
      <c r="C1587" t="s">
        <v>16</v>
      </c>
      <c r="D1587" s="3">
        <v>44338</v>
      </c>
      <c r="E1587" s="1">
        <v>44338.493900462963</v>
      </c>
      <c r="F1587" t="s">
        <v>17</v>
      </c>
      <c r="G1587" t="s">
        <v>47</v>
      </c>
      <c r="H1587" s="1">
        <v>44338.375</v>
      </c>
      <c r="I1587" s="1">
        <v>44338.489583333336</v>
      </c>
      <c r="J1587" s="4">
        <f t="shared" si="24"/>
        <v>0.11458333333575865</v>
      </c>
      <c r="K1587" t="s">
        <v>209</v>
      </c>
      <c r="M1587">
        <v>0</v>
      </c>
      <c r="N1587" s="6">
        <v>0</v>
      </c>
      <c r="Q1587" s="2" t="s">
        <v>19</v>
      </c>
    </row>
    <row r="1588" spans="1:17" ht="68" x14ac:dyDescent="0.2">
      <c r="A1588" t="s">
        <v>189</v>
      </c>
      <c r="B1588" t="s">
        <v>139</v>
      </c>
      <c r="C1588" t="s">
        <v>16</v>
      </c>
      <c r="D1588" s="3">
        <v>44338</v>
      </c>
      <c r="E1588" s="1">
        <v>44338.63181712963</v>
      </c>
      <c r="F1588" t="s">
        <v>17</v>
      </c>
      <c r="G1588" t="s">
        <v>42</v>
      </c>
      <c r="H1588" s="1">
        <v>44338.53125</v>
      </c>
      <c r="I1588" s="1">
        <v>44338.645833333336</v>
      </c>
      <c r="J1588" s="4">
        <f t="shared" si="24"/>
        <v>0.11458333333575865</v>
      </c>
      <c r="K1588" t="s">
        <v>210</v>
      </c>
      <c r="M1588">
        <v>0</v>
      </c>
      <c r="N1588" s="6">
        <v>0</v>
      </c>
      <c r="Q1588" s="2" t="s">
        <v>19</v>
      </c>
    </row>
    <row r="1589" spans="1:17" ht="68" x14ac:dyDescent="0.2">
      <c r="A1589" t="s">
        <v>189</v>
      </c>
      <c r="B1589" t="s">
        <v>139</v>
      </c>
      <c r="C1589" t="s">
        <v>16</v>
      </c>
      <c r="D1589" s="3">
        <v>44340</v>
      </c>
      <c r="E1589" s="1">
        <v>44340.499351851853</v>
      </c>
      <c r="F1589" t="s">
        <v>17</v>
      </c>
      <c r="G1589" t="s">
        <v>71</v>
      </c>
      <c r="H1589" s="1">
        <v>44340.375</v>
      </c>
      <c r="I1589" s="1">
        <v>44340.489583333336</v>
      </c>
      <c r="J1589" s="4">
        <f t="shared" si="24"/>
        <v>0.11458333333575865</v>
      </c>
      <c r="K1589" t="s">
        <v>211</v>
      </c>
      <c r="M1589">
        <v>5</v>
      </c>
      <c r="N1589" s="6">
        <v>0</v>
      </c>
      <c r="Q1589" s="2" t="s">
        <v>19</v>
      </c>
    </row>
    <row r="1590" spans="1:17" ht="68" x14ac:dyDescent="0.2">
      <c r="A1590" t="s">
        <v>189</v>
      </c>
      <c r="B1590" t="s">
        <v>139</v>
      </c>
      <c r="C1590" t="s">
        <v>16</v>
      </c>
      <c r="D1590" s="3">
        <v>44340</v>
      </c>
      <c r="E1590" s="1">
        <v>44340.499421296299</v>
      </c>
      <c r="F1590" t="s">
        <v>17</v>
      </c>
      <c r="G1590" t="s">
        <v>71</v>
      </c>
      <c r="H1590" s="1">
        <v>44340.375</v>
      </c>
      <c r="I1590" s="1">
        <v>44340.489583333336</v>
      </c>
      <c r="J1590" s="4">
        <f t="shared" si="24"/>
        <v>0.11458333333575865</v>
      </c>
      <c r="K1590" t="s">
        <v>211</v>
      </c>
      <c r="M1590">
        <v>2</v>
      </c>
      <c r="N1590" s="6">
        <v>0</v>
      </c>
      <c r="Q1590" s="2" t="s">
        <v>19</v>
      </c>
    </row>
    <row r="1591" spans="1:17" ht="68" x14ac:dyDescent="0.2">
      <c r="A1591" t="s">
        <v>189</v>
      </c>
      <c r="B1591" t="s">
        <v>139</v>
      </c>
      <c r="C1591" t="s">
        <v>16</v>
      </c>
      <c r="D1591" s="3">
        <v>44340</v>
      </c>
      <c r="E1591" s="1">
        <v>44340.510925925926</v>
      </c>
      <c r="F1591" t="s">
        <v>17</v>
      </c>
      <c r="G1591" t="s">
        <v>71</v>
      </c>
      <c r="H1591" s="1">
        <v>44340.375</v>
      </c>
      <c r="I1591" s="1">
        <v>44340.489583333336</v>
      </c>
      <c r="J1591" s="4">
        <f t="shared" si="24"/>
        <v>0.11458333333575865</v>
      </c>
      <c r="K1591" t="s">
        <v>211</v>
      </c>
      <c r="M1591">
        <v>0</v>
      </c>
      <c r="N1591" s="5" t="s">
        <v>144</v>
      </c>
      <c r="Q1591" s="2" t="s">
        <v>19</v>
      </c>
    </row>
    <row r="1592" spans="1:17" ht="68" x14ac:dyDescent="0.2">
      <c r="A1592" t="s">
        <v>189</v>
      </c>
      <c r="B1592" t="s">
        <v>139</v>
      </c>
      <c r="C1592" t="s">
        <v>16</v>
      </c>
      <c r="D1592" s="3">
        <v>44340</v>
      </c>
      <c r="E1592" s="1">
        <v>44340.660601851851</v>
      </c>
      <c r="F1592" t="s">
        <v>17</v>
      </c>
      <c r="G1592" t="s">
        <v>56</v>
      </c>
      <c r="H1592" s="1">
        <v>44340.53125</v>
      </c>
      <c r="I1592" s="1">
        <v>44340.666666666664</v>
      </c>
      <c r="J1592" s="4">
        <f t="shared" si="24"/>
        <v>0.13541666666424135</v>
      </c>
      <c r="K1592" t="s">
        <v>200</v>
      </c>
      <c r="M1592">
        <v>1</v>
      </c>
      <c r="N1592" s="6">
        <v>0</v>
      </c>
      <c r="Q1592" s="2" t="s">
        <v>19</v>
      </c>
    </row>
    <row r="1593" spans="1:17" ht="68" x14ac:dyDescent="0.2">
      <c r="A1593" t="s">
        <v>189</v>
      </c>
      <c r="B1593" t="s">
        <v>139</v>
      </c>
      <c r="C1593" t="s">
        <v>16</v>
      </c>
      <c r="D1593" s="3">
        <v>44341</v>
      </c>
      <c r="E1593" s="1">
        <v>44341.48810185185</v>
      </c>
      <c r="F1593" t="s">
        <v>17</v>
      </c>
      <c r="G1593" t="s">
        <v>55</v>
      </c>
      <c r="H1593" s="1">
        <v>44341.383333333331</v>
      </c>
      <c r="I1593" s="1">
        <v>44341.404166666667</v>
      </c>
      <c r="J1593" s="4">
        <f t="shared" si="24"/>
        <v>2.0833333335758653E-2</v>
      </c>
      <c r="K1593" t="s">
        <v>200</v>
      </c>
      <c r="M1593">
        <v>5</v>
      </c>
      <c r="N1593" s="6">
        <v>0</v>
      </c>
      <c r="Q1593" s="2" t="s">
        <v>19</v>
      </c>
    </row>
    <row r="1594" spans="1:17" ht="68" x14ac:dyDescent="0.2">
      <c r="A1594" t="s">
        <v>189</v>
      </c>
      <c r="B1594" t="s">
        <v>139</v>
      </c>
      <c r="C1594" t="s">
        <v>16</v>
      </c>
      <c r="D1594" s="3">
        <v>44341</v>
      </c>
      <c r="E1594" s="1">
        <v>44341.552789351852</v>
      </c>
      <c r="F1594" t="s">
        <v>17</v>
      </c>
      <c r="G1594" t="s">
        <v>68</v>
      </c>
      <c r="H1594" s="1">
        <v>44341.541666666664</v>
      </c>
      <c r="I1594" s="1">
        <v>44341.666666666664</v>
      </c>
      <c r="J1594" s="4">
        <f t="shared" si="24"/>
        <v>0.125</v>
      </c>
      <c r="K1594" t="s">
        <v>192</v>
      </c>
      <c r="M1594">
        <v>3</v>
      </c>
      <c r="N1594" s="6">
        <v>0</v>
      </c>
      <c r="Q1594" s="2" t="s">
        <v>19</v>
      </c>
    </row>
    <row r="1595" spans="1:17" ht="68" x14ac:dyDescent="0.2">
      <c r="A1595" t="s">
        <v>189</v>
      </c>
      <c r="B1595" t="s">
        <v>139</v>
      </c>
      <c r="C1595" t="s">
        <v>16</v>
      </c>
      <c r="D1595" s="3">
        <v>44342</v>
      </c>
      <c r="E1595" s="1">
        <v>44342.493993055556</v>
      </c>
      <c r="F1595" t="s">
        <v>17</v>
      </c>
      <c r="G1595" t="s">
        <v>72</v>
      </c>
      <c r="H1595" s="1">
        <v>44342.375</v>
      </c>
      <c r="I1595" s="1">
        <v>44342.5</v>
      </c>
      <c r="J1595" s="4">
        <f t="shared" si="24"/>
        <v>0.125</v>
      </c>
      <c r="K1595" t="s">
        <v>212</v>
      </c>
      <c r="M1595">
        <v>9</v>
      </c>
      <c r="N1595" s="6">
        <v>0</v>
      </c>
      <c r="Q1595" s="2" t="s">
        <v>19</v>
      </c>
    </row>
    <row r="1596" spans="1:17" ht="68" x14ac:dyDescent="0.2">
      <c r="A1596" t="s">
        <v>189</v>
      </c>
      <c r="B1596" t="s">
        <v>139</v>
      </c>
      <c r="C1596" t="s">
        <v>16</v>
      </c>
      <c r="D1596" s="3">
        <v>44342</v>
      </c>
      <c r="E1596" s="1">
        <v>44342.539537037039</v>
      </c>
      <c r="F1596" t="s">
        <v>17</v>
      </c>
      <c r="G1596" t="s">
        <v>35</v>
      </c>
      <c r="H1596" s="1">
        <v>44342.53125</v>
      </c>
      <c r="I1596" s="1">
        <v>44342.666666666664</v>
      </c>
      <c r="J1596" s="4">
        <f t="shared" si="24"/>
        <v>0.13541666666424135</v>
      </c>
      <c r="K1596" t="s">
        <v>200</v>
      </c>
      <c r="M1596">
        <v>4</v>
      </c>
      <c r="N1596" s="6">
        <v>0</v>
      </c>
      <c r="Q1596" s="2" t="s">
        <v>19</v>
      </c>
    </row>
    <row r="1597" spans="1:17" ht="68" x14ac:dyDescent="0.2">
      <c r="A1597" t="s">
        <v>189</v>
      </c>
      <c r="B1597" t="s">
        <v>139</v>
      </c>
      <c r="C1597" t="s">
        <v>16</v>
      </c>
      <c r="D1597" s="3">
        <v>44342</v>
      </c>
      <c r="E1597" s="1">
        <v>44342.60564814815</v>
      </c>
      <c r="F1597" t="s">
        <v>17</v>
      </c>
      <c r="G1597" t="s">
        <v>35</v>
      </c>
      <c r="H1597" s="1">
        <v>44342.53125</v>
      </c>
      <c r="I1597" s="1">
        <v>44342.666666666664</v>
      </c>
      <c r="J1597" s="4">
        <f t="shared" si="24"/>
        <v>0.13541666666424135</v>
      </c>
      <c r="K1597" t="s">
        <v>200</v>
      </c>
      <c r="M1597">
        <v>1</v>
      </c>
      <c r="N1597" s="6">
        <v>0</v>
      </c>
      <c r="Q1597" s="2" t="s">
        <v>19</v>
      </c>
    </row>
    <row r="1598" spans="1:17" ht="68" x14ac:dyDescent="0.2">
      <c r="A1598" t="s">
        <v>189</v>
      </c>
      <c r="B1598" t="s">
        <v>139</v>
      </c>
      <c r="C1598" t="s">
        <v>16</v>
      </c>
      <c r="D1598" s="3">
        <v>44342</v>
      </c>
      <c r="E1598" s="1">
        <v>44342.660763888889</v>
      </c>
      <c r="F1598" t="s">
        <v>17</v>
      </c>
      <c r="G1598" t="s">
        <v>35</v>
      </c>
      <c r="H1598" s="1">
        <v>44342.53125</v>
      </c>
      <c r="I1598" s="1">
        <v>44342.666666666664</v>
      </c>
      <c r="J1598" s="4">
        <f t="shared" si="24"/>
        <v>0.13541666666424135</v>
      </c>
      <c r="K1598" t="s">
        <v>200</v>
      </c>
      <c r="M1598">
        <v>5</v>
      </c>
      <c r="N1598" s="6">
        <v>0</v>
      </c>
      <c r="Q1598" s="2" t="s">
        <v>19</v>
      </c>
    </row>
    <row r="1599" spans="1:17" ht="68" x14ac:dyDescent="0.2">
      <c r="A1599" t="s">
        <v>189</v>
      </c>
      <c r="B1599" t="s">
        <v>139</v>
      </c>
      <c r="C1599" t="s">
        <v>16</v>
      </c>
      <c r="D1599" s="3">
        <v>44343</v>
      </c>
      <c r="E1599" s="1">
        <v>44343.486828703702</v>
      </c>
      <c r="F1599" t="s">
        <v>17</v>
      </c>
      <c r="G1599" t="s">
        <v>73</v>
      </c>
      <c r="H1599" s="1">
        <v>44343.375</v>
      </c>
      <c r="I1599" s="1">
        <v>44343.489583333336</v>
      </c>
      <c r="J1599" s="4">
        <f t="shared" si="24"/>
        <v>0.11458333333575865</v>
      </c>
      <c r="K1599" t="s">
        <v>196</v>
      </c>
      <c r="M1599">
        <v>2</v>
      </c>
      <c r="N1599" s="6">
        <v>0</v>
      </c>
      <c r="Q1599" s="2" t="s">
        <v>19</v>
      </c>
    </row>
    <row r="1600" spans="1:17" ht="68" x14ac:dyDescent="0.2">
      <c r="A1600" t="s">
        <v>189</v>
      </c>
      <c r="B1600" t="s">
        <v>139</v>
      </c>
      <c r="C1600" t="s">
        <v>16</v>
      </c>
      <c r="D1600" s="3">
        <v>44344</v>
      </c>
      <c r="E1600" s="1">
        <v>44344.488425925927</v>
      </c>
      <c r="F1600" t="s">
        <v>17</v>
      </c>
      <c r="G1600" t="s">
        <v>53</v>
      </c>
      <c r="H1600" s="1">
        <v>44344.375</v>
      </c>
      <c r="I1600" s="1">
        <v>44344.489583333336</v>
      </c>
      <c r="J1600" s="4">
        <f t="shared" si="24"/>
        <v>0.11458333333575865</v>
      </c>
      <c r="K1600" t="s">
        <v>199</v>
      </c>
      <c r="M1600">
        <v>0</v>
      </c>
      <c r="N1600" s="6">
        <v>0</v>
      </c>
      <c r="Q1600" s="2" t="s">
        <v>19</v>
      </c>
    </row>
    <row r="1601" spans="1:17" ht="68" x14ac:dyDescent="0.2">
      <c r="A1601" t="s">
        <v>189</v>
      </c>
      <c r="B1601" t="s">
        <v>139</v>
      </c>
      <c r="C1601" t="s">
        <v>16</v>
      </c>
      <c r="D1601" s="3">
        <v>44344</v>
      </c>
      <c r="E1601" s="1">
        <v>44344.659675925926</v>
      </c>
      <c r="F1601" t="s">
        <v>17</v>
      </c>
      <c r="G1601" t="s">
        <v>106</v>
      </c>
      <c r="H1601" s="1">
        <v>44344.552083333336</v>
      </c>
      <c r="I1601" s="1">
        <v>44344.666666666664</v>
      </c>
      <c r="J1601" s="4">
        <f t="shared" si="24"/>
        <v>0.11458333332848269</v>
      </c>
      <c r="K1601" t="s">
        <v>221</v>
      </c>
      <c r="M1601">
        <v>0</v>
      </c>
      <c r="N1601" s="6">
        <v>0</v>
      </c>
      <c r="Q1601" s="2" t="s">
        <v>19</v>
      </c>
    </row>
    <row r="1602" spans="1:17" ht="68" x14ac:dyDescent="0.2">
      <c r="A1602" t="s">
        <v>189</v>
      </c>
      <c r="B1602" t="s">
        <v>139</v>
      </c>
      <c r="C1602" t="s">
        <v>16</v>
      </c>
      <c r="D1602" s="3">
        <v>44348</v>
      </c>
      <c r="E1602" s="1">
        <v>44348.490949074076</v>
      </c>
      <c r="F1602" t="s">
        <v>17</v>
      </c>
      <c r="G1602" t="s">
        <v>53</v>
      </c>
      <c r="H1602" s="1">
        <v>44348.378472222219</v>
      </c>
      <c r="I1602" s="1">
        <v>44348.490972222222</v>
      </c>
      <c r="J1602" s="4">
        <f t="shared" si="24"/>
        <v>0.11250000000291038</v>
      </c>
      <c r="K1602" t="s">
        <v>213</v>
      </c>
      <c r="M1602">
        <v>0</v>
      </c>
      <c r="N1602" s="5" t="s">
        <v>144</v>
      </c>
      <c r="Q1602" s="2" t="s">
        <v>19</v>
      </c>
    </row>
    <row r="1603" spans="1:17" ht="68" x14ac:dyDescent="0.2">
      <c r="A1603" t="s">
        <v>189</v>
      </c>
      <c r="B1603" t="s">
        <v>139</v>
      </c>
      <c r="C1603" t="s">
        <v>16</v>
      </c>
      <c r="D1603" s="3">
        <v>44348</v>
      </c>
      <c r="E1603" s="1">
        <v>44348.600925925923</v>
      </c>
      <c r="F1603" t="s">
        <v>17</v>
      </c>
      <c r="G1603" t="s">
        <v>74</v>
      </c>
      <c r="H1603" s="1">
        <v>44348.541666666664</v>
      </c>
      <c r="I1603" s="1">
        <v>44348.645833333336</v>
      </c>
      <c r="J1603" s="4">
        <f t="shared" ref="J1603:J1666" si="25">IF($I1603="","",$I1603-$H1603)</f>
        <v>0.10416666667151731</v>
      </c>
      <c r="K1603" t="s">
        <v>192</v>
      </c>
      <c r="M1603">
        <v>2</v>
      </c>
      <c r="N1603" s="6">
        <v>0</v>
      </c>
      <c r="Q1603" s="2" t="s">
        <v>19</v>
      </c>
    </row>
    <row r="1604" spans="1:17" ht="68" x14ac:dyDescent="0.2">
      <c r="A1604" t="s">
        <v>189</v>
      </c>
      <c r="B1604" t="s">
        <v>139</v>
      </c>
      <c r="C1604" t="s">
        <v>16</v>
      </c>
      <c r="D1604" s="3">
        <v>44348</v>
      </c>
      <c r="E1604" s="1">
        <v>44348.667604166665</v>
      </c>
      <c r="F1604" t="s">
        <v>17</v>
      </c>
      <c r="G1604" t="s">
        <v>75</v>
      </c>
      <c r="H1604" s="1">
        <v>44348.645833333336</v>
      </c>
      <c r="I1604" s="1">
        <v>44348.666666666664</v>
      </c>
      <c r="J1604" s="4">
        <f t="shared" si="25"/>
        <v>2.0833333328482695E-2</v>
      </c>
      <c r="K1604" t="s">
        <v>214</v>
      </c>
      <c r="M1604">
        <v>2</v>
      </c>
      <c r="N1604" s="6">
        <v>0</v>
      </c>
      <c r="Q1604" s="2" t="s">
        <v>19</v>
      </c>
    </row>
    <row r="1605" spans="1:17" ht="68" x14ac:dyDescent="0.2">
      <c r="A1605" t="s">
        <v>189</v>
      </c>
      <c r="B1605" t="s">
        <v>139</v>
      </c>
      <c r="C1605" t="s">
        <v>16</v>
      </c>
      <c r="D1605" s="3">
        <v>44349</v>
      </c>
      <c r="E1605" s="1">
        <v>44349.48505787037</v>
      </c>
      <c r="F1605" t="s">
        <v>17</v>
      </c>
      <c r="G1605" t="s">
        <v>76</v>
      </c>
      <c r="H1605" s="1">
        <v>44349.376388888886</v>
      </c>
      <c r="I1605" s="1">
        <v>44349.489583333336</v>
      </c>
      <c r="J1605" s="4">
        <f t="shared" si="25"/>
        <v>0.11319444444961846</v>
      </c>
      <c r="K1605" t="s">
        <v>197</v>
      </c>
      <c r="M1605">
        <v>0</v>
      </c>
      <c r="N1605" s="6">
        <v>0</v>
      </c>
      <c r="Q1605" s="2" t="s">
        <v>19</v>
      </c>
    </row>
    <row r="1606" spans="1:17" ht="68" x14ac:dyDescent="0.2">
      <c r="A1606" t="s">
        <v>189</v>
      </c>
      <c r="B1606" t="s">
        <v>139</v>
      </c>
      <c r="C1606" t="s">
        <v>16</v>
      </c>
      <c r="D1606" s="3">
        <v>44349</v>
      </c>
      <c r="E1606" s="1">
        <v>44349.59952546296</v>
      </c>
      <c r="F1606" t="s">
        <v>17</v>
      </c>
      <c r="G1606" t="s">
        <v>37</v>
      </c>
      <c r="H1606" s="1">
        <v>44349.53125</v>
      </c>
      <c r="I1606" s="1">
        <v>44349.645833333336</v>
      </c>
      <c r="J1606" s="4">
        <f t="shared" si="25"/>
        <v>0.11458333333575865</v>
      </c>
      <c r="K1606" t="s">
        <v>192</v>
      </c>
      <c r="M1606">
        <v>1</v>
      </c>
      <c r="N1606" s="6">
        <v>0</v>
      </c>
      <c r="Q1606" s="2" t="s">
        <v>19</v>
      </c>
    </row>
    <row r="1607" spans="1:17" ht="68" x14ac:dyDescent="0.2">
      <c r="A1607" t="s">
        <v>189</v>
      </c>
      <c r="B1607" t="s">
        <v>139</v>
      </c>
      <c r="C1607" t="s">
        <v>16</v>
      </c>
      <c r="D1607" s="3">
        <v>44350</v>
      </c>
      <c r="E1607" s="1">
        <v>44350.470185185186</v>
      </c>
      <c r="F1607" t="s">
        <v>17</v>
      </c>
      <c r="G1607" t="s">
        <v>77</v>
      </c>
      <c r="H1607" s="1">
        <v>44350.333333333336</v>
      </c>
      <c r="I1607" s="1">
        <v>44350.479166666664</v>
      </c>
      <c r="J1607" s="4">
        <f t="shared" si="25"/>
        <v>0.14583333332848269</v>
      </c>
      <c r="K1607" t="s">
        <v>191</v>
      </c>
      <c r="M1607">
        <v>6</v>
      </c>
      <c r="N1607" s="6">
        <v>0</v>
      </c>
      <c r="Q1607" s="2" t="s">
        <v>19</v>
      </c>
    </row>
    <row r="1608" spans="1:17" ht="68" x14ac:dyDescent="0.2">
      <c r="A1608" t="s">
        <v>189</v>
      </c>
      <c r="B1608" t="s">
        <v>139</v>
      </c>
      <c r="C1608" t="s">
        <v>16</v>
      </c>
      <c r="D1608" s="3">
        <v>44351</v>
      </c>
      <c r="E1608" s="1">
        <v>44351.489050925928</v>
      </c>
      <c r="F1608" t="s">
        <v>17</v>
      </c>
      <c r="G1608" t="s">
        <v>63</v>
      </c>
      <c r="H1608" s="1">
        <v>44351.375</v>
      </c>
      <c r="I1608" s="1">
        <v>44351.489583333336</v>
      </c>
      <c r="J1608" s="4">
        <f t="shared" si="25"/>
        <v>0.11458333333575865</v>
      </c>
      <c r="K1608" t="s">
        <v>199</v>
      </c>
      <c r="M1608">
        <v>0</v>
      </c>
      <c r="N1608" s="6">
        <v>0</v>
      </c>
      <c r="Q1608" s="2" t="s">
        <v>19</v>
      </c>
    </row>
    <row r="1609" spans="1:17" ht="68" x14ac:dyDescent="0.2">
      <c r="A1609" t="s">
        <v>189</v>
      </c>
      <c r="B1609" t="s">
        <v>139</v>
      </c>
      <c r="C1609" t="s">
        <v>16</v>
      </c>
      <c r="D1609" s="3">
        <v>44351</v>
      </c>
      <c r="E1609" s="1">
        <v>44351.658495370371</v>
      </c>
      <c r="F1609" t="s">
        <v>17</v>
      </c>
      <c r="G1609" t="s">
        <v>45</v>
      </c>
      <c r="H1609" s="1">
        <v>44351.53125</v>
      </c>
      <c r="I1609" s="1">
        <v>44351.666666666664</v>
      </c>
      <c r="J1609" s="4">
        <f t="shared" si="25"/>
        <v>0.13541666666424135</v>
      </c>
      <c r="K1609" t="s">
        <v>195</v>
      </c>
      <c r="M1609">
        <v>1</v>
      </c>
      <c r="N1609" s="6">
        <v>0</v>
      </c>
      <c r="Q1609" s="2" t="s">
        <v>19</v>
      </c>
    </row>
    <row r="1610" spans="1:17" ht="68" x14ac:dyDescent="0.2">
      <c r="A1610" t="s">
        <v>189</v>
      </c>
      <c r="B1610" t="s">
        <v>139</v>
      </c>
      <c r="C1610" t="s">
        <v>16</v>
      </c>
      <c r="D1610" s="3">
        <v>44354</v>
      </c>
      <c r="E1610" s="1">
        <v>44354.489687499998</v>
      </c>
      <c r="F1610" t="s">
        <v>17</v>
      </c>
      <c r="G1610" t="s">
        <v>78</v>
      </c>
      <c r="H1610" s="1">
        <v>44354.375</v>
      </c>
      <c r="I1610" s="1">
        <v>44354.489583333336</v>
      </c>
      <c r="J1610" s="4">
        <f t="shared" si="25"/>
        <v>0.11458333333575865</v>
      </c>
      <c r="K1610" t="s">
        <v>215</v>
      </c>
      <c r="M1610">
        <v>3</v>
      </c>
      <c r="N1610" s="6">
        <v>0</v>
      </c>
      <c r="Q1610" s="2" t="s">
        <v>19</v>
      </c>
    </row>
    <row r="1611" spans="1:17" ht="68" x14ac:dyDescent="0.2">
      <c r="A1611" t="s">
        <v>189</v>
      </c>
      <c r="B1611" t="s">
        <v>139</v>
      </c>
      <c r="C1611" t="s">
        <v>16</v>
      </c>
      <c r="D1611" s="3">
        <v>44354</v>
      </c>
      <c r="E1611" s="1">
        <v>44354.643217592595</v>
      </c>
      <c r="F1611" t="s">
        <v>17</v>
      </c>
      <c r="G1611" t="s">
        <v>79</v>
      </c>
      <c r="H1611" s="1">
        <v>44354.530555555553</v>
      </c>
      <c r="I1611" s="1">
        <v>44354.645833333336</v>
      </c>
      <c r="J1611" s="4">
        <f t="shared" si="25"/>
        <v>0.11527777778246673</v>
      </c>
      <c r="K1611" t="s">
        <v>200</v>
      </c>
      <c r="M1611">
        <v>0</v>
      </c>
      <c r="N1611" s="6">
        <v>0</v>
      </c>
      <c r="Q1611" s="2" t="s">
        <v>19</v>
      </c>
    </row>
    <row r="1612" spans="1:17" ht="68" x14ac:dyDescent="0.2">
      <c r="A1612" t="s">
        <v>189</v>
      </c>
      <c r="B1612" t="s">
        <v>139</v>
      </c>
      <c r="C1612" t="s">
        <v>16</v>
      </c>
      <c r="D1612" s="3">
        <v>44355</v>
      </c>
      <c r="E1612" s="1">
        <v>44355.487916666665</v>
      </c>
      <c r="F1612" t="s">
        <v>17</v>
      </c>
      <c r="G1612" t="s">
        <v>80</v>
      </c>
      <c r="H1612" s="1">
        <v>44355.375</v>
      </c>
      <c r="I1612" s="1">
        <v>44355.489583333336</v>
      </c>
      <c r="J1612" s="4">
        <f t="shared" si="25"/>
        <v>0.11458333333575865</v>
      </c>
      <c r="K1612" t="s">
        <v>216</v>
      </c>
      <c r="M1612">
        <v>0</v>
      </c>
      <c r="N1612" s="6">
        <v>0</v>
      </c>
      <c r="Q1612" s="2" t="s">
        <v>19</v>
      </c>
    </row>
    <row r="1613" spans="1:17" ht="68" x14ac:dyDescent="0.2">
      <c r="A1613" t="s">
        <v>189</v>
      </c>
      <c r="B1613" t="s">
        <v>139</v>
      </c>
      <c r="C1613" t="s">
        <v>16</v>
      </c>
      <c r="D1613" s="3">
        <v>44355</v>
      </c>
      <c r="E1613" s="1">
        <v>44355.544583333336</v>
      </c>
      <c r="F1613" t="s">
        <v>17</v>
      </c>
      <c r="G1613" t="s">
        <v>48</v>
      </c>
      <c r="H1613" s="1">
        <v>44355.541666666664</v>
      </c>
      <c r="I1613" s="1">
        <v>44355.666666666664</v>
      </c>
      <c r="J1613" s="4">
        <f t="shared" si="25"/>
        <v>0.125</v>
      </c>
      <c r="K1613" t="s">
        <v>192</v>
      </c>
      <c r="M1613">
        <v>2</v>
      </c>
      <c r="N1613" s="6">
        <v>0</v>
      </c>
      <c r="Q1613" s="2" t="s">
        <v>19</v>
      </c>
    </row>
    <row r="1614" spans="1:17" ht="68" x14ac:dyDescent="0.2">
      <c r="A1614" t="s">
        <v>189</v>
      </c>
      <c r="B1614" t="s">
        <v>139</v>
      </c>
      <c r="C1614" t="s">
        <v>16</v>
      </c>
      <c r="D1614" s="3">
        <v>44356</v>
      </c>
      <c r="E1614" s="1">
        <v>44356.485000000001</v>
      </c>
      <c r="F1614" t="s">
        <v>17</v>
      </c>
      <c r="G1614" t="s">
        <v>78</v>
      </c>
      <c r="H1614" s="1">
        <v>44356.375</v>
      </c>
      <c r="I1614" s="1">
        <v>44356.489583333336</v>
      </c>
      <c r="J1614" s="4">
        <f t="shared" si="25"/>
        <v>0.11458333333575865</v>
      </c>
      <c r="K1614" t="s">
        <v>197</v>
      </c>
      <c r="M1614">
        <v>0</v>
      </c>
      <c r="N1614" s="6">
        <v>0</v>
      </c>
      <c r="Q1614" s="2" t="s">
        <v>19</v>
      </c>
    </row>
    <row r="1615" spans="1:17" ht="68" x14ac:dyDescent="0.2">
      <c r="A1615" t="s">
        <v>189</v>
      </c>
      <c r="B1615" t="s">
        <v>139</v>
      </c>
      <c r="C1615" t="s">
        <v>16</v>
      </c>
      <c r="D1615" s="3">
        <v>44356</v>
      </c>
      <c r="E1615" s="1">
        <v>44356.574687499997</v>
      </c>
      <c r="F1615" t="s">
        <v>17</v>
      </c>
      <c r="G1615" t="s">
        <v>58</v>
      </c>
      <c r="H1615" s="1">
        <v>44356.54791666667</v>
      </c>
      <c r="I1615" s="1">
        <v>44356.666666666664</v>
      </c>
      <c r="J1615" s="4">
        <f t="shared" si="25"/>
        <v>0.11874999999417923</v>
      </c>
      <c r="K1615" t="s">
        <v>200</v>
      </c>
      <c r="M1615">
        <v>2</v>
      </c>
      <c r="N1615" s="6">
        <v>0</v>
      </c>
      <c r="Q1615" s="2" t="s">
        <v>19</v>
      </c>
    </row>
    <row r="1616" spans="1:17" ht="68" x14ac:dyDescent="0.2">
      <c r="A1616" t="s">
        <v>189</v>
      </c>
      <c r="B1616" t="s">
        <v>139</v>
      </c>
      <c r="C1616" t="s">
        <v>16</v>
      </c>
      <c r="D1616" s="3">
        <v>44357</v>
      </c>
      <c r="E1616" s="1">
        <v>44357.364074074074</v>
      </c>
      <c r="F1616" t="s">
        <v>17</v>
      </c>
      <c r="G1616" t="s">
        <v>81</v>
      </c>
      <c r="H1616" s="1">
        <v>44357.333333333336</v>
      </c>
      <c r="I1616" s="1">
        <v>44357.479166666664</v>
      </c>
      <c r="J1616" s="4">
        <f t="shared" si="25"/>
        <v>0.14583333332848269</v>
      </c>
      <c r="K1616" t="s">
        <v>217</v>
      </c>
      <c r="M1616">
        <v>7</v>
      </c>
      <c r="N1616" s="6">
        <v>0</v>
      </c>
      <c r="Q1616" s="2" t="s">
        <v>19</v>
      </c>
    </row>
    <row r="1617" spans="1:17" ht="68" x14ac:dyDescent="0.2">
      <c r="A1617" t="s">
        <v>189</v>
      </c>
      <c r="B1617" t="s">
        <v>139</v>
      </c>
      <c r="C1617" t="s">
        <v>16</v>
      </c>
      <c r="D1617" s="3">
        <v>44358</v>
      </c>
      <c r="E1617" s="1">
        <v>44358.489710648151</v>
      </c>
      <c r="F1617" t="s">
        <v>17</v>
      </c>
      <c r="G1617" t="s">
        <v>53</v>
      </c>
      <c r="H1617" s="1">
        <v>44358.375</v>
      </c>
      <c r="I1617" s="1">
        <v>44358.489583333336</v>
      </c>
      <c r="J1617" s="4">
        <f t="shared" si="25"/>
        <v>0.11458333333575865</v>
      </c>
      <c r="K1617" t="s">
        <v>199</v>
      </c>
      <c r="M1617">
        <v>0</v>
      </c>
      <c r="N1617" s="6">
        <v>0</v>
      </c>
      <c r="Q1617" s="2" t="s">
        <v>19</v>
      </c>
    </row>
    <row r="1618" spans="1:17" ht="68" x14ac:dyDescent="0.2">
      <c r="A1618" t="s">
        <v>189</v>
      </c>
      <c r="B1618" t="s">
        <v>139</v>
      </c>
      <c r="C1618" t="s">
        <v>16</v>
      </c>
      <c r="D1618" s="3">
        <v>44358</v>
      </c>
      <c r="E1618" s="1">
        <v>44358.644131944442</v>
      </c>
      <c r="F1618" t="s">
        <v>17</v>
      </c>
      <c r="G1618" t="s">
        <v>82</v>
      </c>
      <c r="H1618" s="1">
        <v>44358.53125</v>
      </c>
      <c r="I1618" s="1">
        <v>44358.645833333336</v>
      </c>
      <c r="J1618" s="4">
        <f t="shared" si="25"/>
        <v>0.11458333333575865</v>
      </c>
      <c r="K1618" t="s">
        <v>200</v>
      </c>
      <c r="M1618">
        <v>0</v>
      </c>
      <c r="N1618" s="6">
        <v>0</v>
      </c>
      <c r="Q1618" s="2" t="s">
        <v>19</v>
      </c>
    </row>
    <row r="1619" spans="1:17" ht="68" x14ac:dyDescent="0.2">
      <c r="A1619" t="s">
        <v>189</v>
      </c>
      <c r="B1619" t="s">
        <v>139</v>
      </c>
      <c r="C1619" t="s">
        <v>16</v>
      </c>
      <c r="D1619" s="3">
        <v>44361</v>
      </c>
      <c r="E1619" s="1">
        <v>44361.48741898148</v>
      </c>
      <c r="F1619" t="s">
        <v>17</v>
      </c>
      <c r="G1619" t="s">
        <v>46</v>
      </c>
      <c r="H1619" s="1">
        <v>44361.375</v>
      </c>
      <c r="I1619" s="1">
        <v>44361.489583333336</v>
      </c>
      <c r="J1619" s="4">
        <f t="shared" si="25"/>
        <v>0.11458333333575865</v>
      </c>
      <c r="K1619" t="s">
        <v>199</v>
      </c>
      <c r="M1619">
        <v>1</v>
      </c>
      <c r="N1619" s="6">
        <v>0</v>
      </c>
      <c r="Q1619" s="2" t="s">
        <v>19</v>
      </c>
    </row>
    <row r="1620" spans="1:17" ht="68" x14ac:dyDescent="0.2">
      <c r="A1620" t="s">
        <v>189</v>
      </c>
      <c r="B1620" t="s">
        <v>139</v>
      </c>
      <c r="C1620" t="s">
        <v>16</v>
      </c>
      <c r="D1620" s="3">
        <v>44361</v>
      </c>
      <c r="E1620" s="1">
        <v>44361.630636574075</v>
      </c>
      <c r="F1620" t="s">
        <v>17</v>
      </c>
      <c r="G1620" t="s">
        <v>35</v>
      </c>
      <c r="H1620" s="1">
        <v>44361.537499999999</v>
      </c>
      <c r="I1620" s="1">
        <v>44361.645833333336</v>
      </c>
      <c r="J1620" s="4">
        <f t="shared" si="25"/>
        <v>0.10833333333721384</v>
      </c>
      <c r="K1620" t="s">
        <v>200</v>
      </c>
      <c r="M1620">
        <v>1</v>
      </c>
      <c r="N1620" s="6">
        <v>0</v>
      </c>
      <c r="Q1620" s="2" t="s">
        <v>19</v>
      </c>
    </row>
    <row r="1621" spans="1:17" ht="68" x14ac:dyDescent="0.2">
      <c r="A1621" t="s">
        <v>189</v>
      </c>
      <c r="B1621" t="s">
        <v>139</v>
      </c>
      <c r="C1621" t="s">
        <v>16</v>
      </c>
      <c r="D1621" s="3">
        <v>44361</v>
      </c>
      <c r="E1621" s="1">
        <v>44361.643993055557</v>
      </c>
      <c r="F1621" t="s">
        <v>17</v>
      </c>
      <c r="G1621" t="s">
        <v>35</v>
      </c>
      <c r="H1621" s="1">
        <v>44361.537499999999</v>
      </c>
      <c r="I1621" s="1">
        <v>44361.645833333336</v>
      </c>
      <c r="J1621" s="4">
        <f t="shared" si="25"/>
        <v>0.10833333333721384</v>
      </c>
      <c r="K1621" t="s">
        <v>200</v>
      </c>
      <c r="M1621">
        <v>0</v>
      </c>
      <c r="N1621" s="6">
        <v>0</v>
      </c>
      <c r="Q1621" s="2" t="s">
        <v>19</v>
      </c>
    </row>
    <row r="1622" spans="1:17" ht="68" x14ac:dyDescent="0.2">
      <c r="A1622" t="s">
        <v>189</v>
      </c>
      <c r="B1622" t="s">
        <v>139</v>
      </c>
      <c r="C1622" t="s">
        <v>16</v>
      </c>
      <c r="D1622" s="3">
        <v>44363</v>
      </c>
      <c r="E1622" s="1">
        <v>44363.663090277776</v>
      </c>
      <c r="F1622" t="s">
        <v>17</v>
      </c>
      <c r="G1622" t="s">
        <v>79</v>
      </c>
      <c r="H1622" s="1">
        <v>44363.53125</v>
      </c>
      <c r="I1622" s="1">
        <v>44363.666666666664</v>
      </c>
      <c r="J1622" s="4">
        <f t="shared" si="25"/>
        <v>0.13541666666424135</v>
      </c>
      <c r="K1622" t="s">
        <v>200</v>
      </c>
      <c r="M1622">
        <v>2</v>
      </c>
      <c r="N1622" s="6">
        <v>0</v>
      </c>
      <c r="Q1622" s="2" t="s">
        <v>19</v>
      </c>
    </row>
    <row r="1623" spans="1:17" ht="68" x14ac:dyDescent="0.2">
      <c r="A1623" t="s">
        <v>189</v>
      </c>
      <c r="B1623" t="s">
        <v>139</v>
      </c>
      <c r="C1623" t="s">
        <v>16</v>
      </c>
      <c r="D1623" s="3">
        <v>44364</v>
      </c>
      <c r="E1623" s="1">
        <v>44364.491898148146</v>
      </c>
      <c r="F1623" t="s">
        <v>17</v>
      </c>
      <c r="G1623" t="s">
        <v>77</v>
      </c>
      <c r="H1623" s="1">
        <v>44364.333333333336</v>
      </c>
      <c r="I1623" s="1">
        <v>44364.479166666664</v>
      </c>
      <c r="J1623" s="4">
        <f t="shared" si="25"/>
        <v>0.14583333332848269</v>
      </c>
      <c r="K1623" t="s">
        <v>217</v>
      </c>
      <c r="M1623">
        <v>4</v>
      </c>
      <c r="N1623" s="6">
        <v>0</v>
      </c>
      <c r="Q1623" s="2" t="s">
        <v>19</v>
      </c>
    </row>
    <row r="1624" spans="1:17" ht="68" x14ac:dyDescent="0.2">
      <c r="A1624" t="s">
        <v>189</v>
      </c>
      <c r="B1624" t="s">
        <v>139</v>
      </c>
      <c r="C1624" t="s">
        <v>16</v>
      </c>
      <c r="D1624" s="3">
        <v>44365</v>
      </c>
      <c r="E1624" s="1">
        <v>44365.490740740737</v>
      </c>
      <c r="F1624" t="s">
        <v>17</v>
      </c>
      <c r="G1624" t="s">
        <v>64</v>
      </c>
      <c r="H1624" s="1">
        <v>44365.375</v>
      </c>
      <c r="I1624" s="1">
        <v>44365.489583333336</v>
      </c>
      <c r="J1624" s="4">
        <f t="shared" si="25"/>
        <v>0.11458333333575865</v>
      </c>
      <c r="K1624" t="s">
        <v>218</v>
      </c>
      <c r="M1624">
        <v>18</v>
      </c>
      <c r="N1624" s="6">
        <v>0</v>
      </c>
      <c r="Q1624" s="2" t="s">
        <v>19</v>
      </c>
    </row>
    <row r="1625" spans="1:17" ht="68" x14ac:dyDescent="0.2">
      <c r="A1625" t="s">
        <v>189</v>
      </c>
      <c r="B1625" t="s">
        <v>139</v>
      </c>
      <c r="C1625" t="s">
        <v>16</v>
      </c>
      <c r="D1625" s="3">
        <v>44365</v>
      </c>
      <c r="E1625" s="1">
        <v>44365.658668981479</v>
      </c>
      <c r="F1625" t="s">
        <v>17</v>
      </c>
      <c r="G1625" t="s">
        <v>83</v>
      </c>
      <c r="H1625" s="1">
        <v>44365.53125</v>
      </c>
      <c r="I1625" s="1">
        <v>44365.666666666664</v>
      </c>
      <c r="J1625" s="4">
        <f t="shared" si="25"/>
        <v>0.13541666666424135</v>
      </c>
      <c r="K1625" t="s">
        <v>217</v>
      </c>
      <c r="M1625">
        <v>2</v>
      </c>
      <c r="N1625" s="6">
        <v>0</v>
      </c>
      <c r="Q1625" s="2" t="s">
        <v>19</v>
      </c>
    </row>
    <row r="1626" spans="1:17" ht="68" x14ac:dyDescent="0.2">
      <c r="A1626" t="s">
        <v>189</v>
      </c>
      <c r="B1626" t="s">
        <v>139</v>
      </c>
      <c r="C1626" t="s">
        <v>16</v>
      </c>
      <c r="D1626" s="3">
        <v>44375</v>
      </c>
      <c r="E1626" s="1">
        <v>44375.66951388889</v>
      </c>
      <c r="F1626" t="s">
        <v>17</v>
      </c>
      <c r="G1626" t="s">
        <v>84</v>
      </c>
      <c r="H1626" s="1">
        <v>44375.539583333331</v>
      </c>
      <c r="I1626" s="1">
        <v>44375.669444444444</v>
      </c>
      <c r="J1626" s="4">
        <f t="shared" si="25"/>
        <v>0.12986111111240461</v>
      </c>
      <c r="K1626" t="s">
        <v>213</v>
      </c>
      <c r="M1626">
        <v>0</v>
      </c>
      <c r="N1626" s="5" t="s">
        <v>144</v>
      </c>
      <c r="Q1626" s="2" t="s">
        <v>19</v>
      </c>
    </row>
    <row r="1627" spans="1:17" ht="68" x14ac:dyDescent="0.2">
      <c r="A1627" t="s">
        <v>189</v>
      </c>
      <c r="B1627" t="s">
        <v>140</v>
      </c>
      <c r="C1627" t="s">
        <v>16</v>
      </c>
      <c r="D1627" s="3">
        <v>44281</v>
      </c>
      <c r="E1627" s="1">
        <v>44281.475787037038</v>
      </c>
      <c r="F1627" t="s">
        <v>17</v>
      </c>
      <c r="G1627" t="s">
        <v>38</v>
      </c>
      <c r="H1627" s="1">
        <v>44281.354166666664</v>
      </c>
      <c r="I1627" s="1">
        <v>44281.479166666664</v>
      </c>
      <c r="J1627" s="4">
        <f t="shared" si="25"/>
        <v>0.125</v>
      </c>
      <c r="K1627" t="s">
        <v>190</v>
      </c>
      <c r="M1627">
        <v>24</v>
      </c>
      <c r="N1627" s="6">
        <v>0</v>
      </c>
      <c r="Q1627" s="2" t="s">
        <v>19</v>
      </c>
    </row>
    <row r="1628" spans="1:17" ht="68" x14ac:dyDescent="0.2">
      <c r="A1628" t="s">
        <v>189</v>
      </c>
      <c r="B1628" t="s">
        <v>140</v>
      </c>
      <c r="C1628" t="s">
        <v>16</v>
      </c>
      <c r="D1628" s="3">
        <v>44284</v>
      </c>
      <c r="E1628" s="1">
        <v>44284.472916666666</v>
      </c>
      <c r="F1628" t="s">
        <v>17</v>
      </c>
      <c r="G1628" t="s">
        <v>38</v>
      </c>
      <c r="H1628" s="1">
        <v>44284.354166666664</v>
      </c>
      <c r="I1628" s="1">
        <v>44284.479166666664</v>
      </c>
      <c r="J1628" s="4">
        <f t="shared" si="25"/>
        <v>0.125</v>
      </c>
      <c r="K1628" t="s">
        <v>190</v>
      </c>
      <c r="M1628">
        <v>9</v>
      </c>
      <c r="N1628" s="6">
        <v>0</v>
      </c>
      <c r="Q1628" s="2" t="s">
        <v>19</v>
      </c>
    </row>
    <row r="1629" spans="1:17" ht="68" x14ac:dyDescent="0.2">
      <c r="A1629" t="s">
        <v>189</v>
      </c>
      <c r="B1629" t="s">
        <v>140</v>
      </c>
      <c r="C1629" t="s">
        <v>16</v>
      </c>
      <c r="D1629" s="3">
        <v>44285</v>
      </c>
      <c r="E1629" s="1">
        <v>44285.41479166667</v>
      </c>
      <c r="F1629" t="s">
        <v>17</v>
      </c>
      <c r="G1629" t="s">
        <v>29</v>
      </c>
      <c r="H1629" s="1">
        <v>44285.375</v>
      </c>
      <c r="I1629" s="1">
        <v>44285.489583333336</v>
      </c>
      <c r="J1629" s="4">
        <f t="shared" si="25"/>
        <v>0.11458333333575865</v>
      </c>
      <c r="K1629" t="s">
        <v>192</v>
      </c>
      <c r="M1629">
        <v>6</v>
      </c>
      <c r="N1629" s="6">
        <v>0</v>
      </c>
      <c r="Q1629" s="2" t="s">
        <v>19</v>
      </c>
    </row>
    <row r="1630" spans="1:17" ht="68" x14ac:dyDescent="0.2">
      <c r="A1630" t="s">
        <v>189</v>
      </c>
      <c r="B1630" t="s">
        <v>140</v>
      </c>
      <c r="C1630" t="s">
        <v>16</v>
      </c>
      <c r="D1630" s="3">
        <v>44285</v>
      </c>
      <c r="E1630" s="1">
        <v>44285.589930555558</v>
      </c>
      <c r="F1630" t="s">
        <v>17</v>
      </c>
      <c r="G1630" t="s">
        <v>42</v>
      </c>
      <c r="H1630" s="1">
        <v>44285.53125</v>
      </c>
      <c r="I1630" s="1">
        <v>44285.666666666664</v>
      </c>
      <c r="J1630" s="4">
        <f t="shared" si="25"/>
        <v>0.13541666666424135</v>
      </c>
      <c r="K1630" t="s">
        <v>192</v>
      </c>
      <c r="M1630">
        <v>6</v>
      </c>
      <c r="N1630" s="6">
        <v>0</v>
      </c>
      <c r="Q1630" s="2" t="s">
        <v>19</v>
      </c>
    </row>
    <row r="1631" spans="1:17" ht="170" x14ac:dyDescent="0.2">
      <c r="A1631" t="s">
        <v>189</v>
      </c>
      <c r="B1631" t="s">
        <v>140</v>
      </c>
      <c r="C1631" t="s">
        <v>16</v>
      </c>
      <c r="D1631" s="3">
        <v>44286</v>
      </c>
      <c r="E1631" s="1">
        <v>44286.370636574073</v>
      </c>
      <c r="F1631" t="s">
        <v>17</v>
      </c>
      <c r="G1631" t="s">
        <v>31</v>
      </c>
      <c r="H1631" s="1">
        <v>44286.354166666664</v>
      </c>
      <c r="I1631" s="1">
        <v>44286.479166666664</v>
      </c>
      <c r="J1631" s="4">
        <f t="shared" si="25"/>
        <v>0.125</v>
      </c>
      <c r="K1631" t="s">
        <v>190</v>
      </c>
      <c r="M1631">
        <v>2</v>
      </c>
      <c r="N1631" s="6">
        <v>0</v>
      </c>
      <c r="Q1631" s="2" t="s">
        <v>141</v>
      </c>
    </row>
    <row r="1632" spans="1:17" ht="187" x14ac:dyDescent="0.2">
      <c r="A1632" t="s">
        <v>189</v>
      </c>
      <c r="B1632" t="s">
        <v>140</v>
      </c>
      <c r="C1632" t="s">
        <v>16</v>
      </c>
      <c r="D1632" s="3">
        <v>44286</v>
      </c>
      <c r="E1632" s="1">
        <v>44286.371886574074</v>
      </c>
      <c r="F1632" t="s">
        <v>17</v>
      </c>
      <c r="G1632" t="s">
        <v>31</v>
      </c>
      <c r="H1632" s="1">
        <v>44286.354166666664</v>
      </c>
      <c r="I1632" s="1">
        <v>44286.479166666664</v>
      </c>
      <c r="J1632" s="4">
        <f t="shared" si="25"/>
        <v>0.125</v>
      </c>
      <c r="K1632" t="s">
        <v>190</v>
      </c>
      <c r="M1632">
        <v>1</v>
      </c>
      <c r="N1632" s="6">
        <v>0</v>
      </c>
      <c r="O1632" t="s">
        <v>102</v>
      </c>
      <c r="P1632" t="s">
        <v>89</v>
      </c>
      <c r="Q1632" s="2" t="s">
        <v>142</v>
      </c>
    </row>
    <row r="1633" spans="1:17" ht="68" x14ac:dyDescent="0.2">
      <c r="A1633" t="s">
        <v>189</v>
      </c>
      <c r="B1633" t="s">
        <v>140</v>
      </c>
      <c r="C1633" t="s">
        <v>16</v>
      </c>
      <c r="D1633" s="3">
        <v>44286</v>
      </c>
      <c r="E1633" s="1">
        <v>44286.47215277778</v>
      </c>
      <c r="F1633" t="s">
        <v>17</v>
      </c>
      <c r="G1633" t="s">
        <v>31</v>
      </c>
      <c r="H1633" s="1">
        <v>44286.354166666664</v>
      </c>
      <c r="I1633" s="1">
        <v>44286.479166666664</v>
      </c>
      <c r="J1633" s="4">
        <f t="shared" si="25"/>
        <v>0.125</v>
      </c>
      <c r="K1633" t="s">
        <v>190</v>
      </c>
      <c r="M1633">
        <v>17</v>
      </c>
      <c r="N1633" s="6">
        <v>0</v>
      </c>
      <c r="Q1633" s="2" t="s">
        <v>19</v>
      </c>
    </row>
    <row r="1634" spans="1:17" ht="68" x14ac:dyDescent="0.2">
      <c r="A1634" t="s">
        <v>189</v>
      </c>
      <c r="B1634" t="s">
        <v>140</v>
      </c>
      <c r="C1634" t="s">
        <v>16</v>
      </c>
      <c r="D1634" s="3">
        <v>44287</v>
      </c>
      <c r="E1634" s="1">
        <v>44287.394120370373</v>
      </c>
      <c r="F1634" t="s">
        <v>17</v>
      </c>
      <c r="G1634" t="s">
        <v>43</v>
      </c>
      <c r="H1634" s="1">
        <v>44287.375</v>
      </c>
      <c r="I1634" s="1">
        <v>44287.489583333336</v>
      </c>
      <c r="J1634" s="4">
        <f t="shared" si="25"/>
        <v>0.11458333333575865</v>
      </c>
      <c r="K1634" t="s">
        <v>192</v>
      </c>
      <c r="M1634">
        <v>7</v>
      </c>
      <c r="N1634" s="6">
        <v>0</v>
      </c>
      <c r="Q1634" s="2" t="s">
        <v>19</v>
      </c>
    </row>
    <row r="1635" spans="1:17" ht="68" x14ac:dyDescent="0.2">
      <c r="A1635" t="s">
        <v>189</v>
      </c>
      <c r="B1635" t="s">
        <v>140</v>
      </c>
      <c r="C1635" t="s">
        <v>16</v>
      </c>
      <c r="D1635" s="3">
        <v>44287</v>
      </c>
      <c r="E1635" s="1">
        <v>44287.450787037036</v>
      </c>
      <c r="F1635" t="s">
        <v>17</v>
      </c>
      <c r="G1635" t="s">
        <v>43</v>
      </c>
      <c r="H1635" s="1">
        <v>44287.375</v>
      </c>
      <c r="I1635" s="1">
        <v>44287.489583333336</v>
      </c>
      <c r="J1635" s="4">
        <f t="shared" si="25"/>
        <v>0.11458333333575865</v>
      </c>
      <c r="K1635" t="s">
        <v>192</v>
      </c>
      <c r="M1635">
        <v>1</v>
      </c>
      <c r="N1635" s="6">
        <v>0</v>
      </c>
      <c r="Q1635" s="2" t="s">
        <v>19</v>
      </c>
    </row>
    <row r="1636" spans="1:17" ht="68" x14ac:dyDescent="0.2">
      <c r="A1636" t="s">
        <v>189</v>
      </c>
      <c r="B1636" t="s">
        <v>140</v>
      </c>
      <c r="C1636" t="s">
        <v>16</v>
      </c>
      <c r="D1636" s="3">
        <v>44287</v>
      </c>
      <c r="E1636" s="1">
        <v>44287.535937499997</v>
      </c>
      <c r="F1636" t="s">
        <v>17</v>
      </c>
      <c r="G1636" t="s">
        <v>37</v>
      </c>
      <c r="H1636" s="1">
        <v>44287.53125</v>
      </c>
      <c r="I1636" s="1">
        <v>44287.666666666664</v>
      </c>
      <c r="J1636" s="4">
        <f t="shared" si="25"/>
        <v>0.13541666666424135</v>
      </c>
      <c r="K1636" t="s">
        <v>192</v>
      </c>
      <c r="M1636">
        <v>4</v>
      </c>
      <c r="N1636" s="6">
        <v>0</v>
      </c>
      <c r="Q1636" s="2" t="s">
        <v>19</v>
      </c>
    </row>
    <row r="1637" spans="1:17" ht="68" x14ac:dyDescent="0.2">
      <c r="A1637" t="s">
        <v>189</v>
      </c>
      <c r="B1637" t="s">
        <v>140</v>
      </c>
      <c r="C1637" t="s">
        <v>16</v>
      </c>
      <c r="D1637" s="3">
        <v>44288</v>
      </c>
      <c r="E1637" s="1">
        <v>44288.474548611113</v>
      </c>
      <c r="F1637" t="s">
        <v>17</v>
      </c>
      <c r="G1637" t="s">
        <v>38</v>
      </c>
      <c r="H1637" s="1">
        <v>44288.354166666664</v>
      </c>
      <c r="I1637" s="1">
        <v>44288.479166666664</v>
      </c>
      <c r="J1637" s="4">
        <f t="shared" si="25"/>
        <v>0.125</v>
      </c>
      <c r="K1637" t="s">
        <v>190</v>
      </c>
      <c r="M1637">
        <v>22</v>
      </c>
      <c r="N1637" s="6">
        <v>0</v>
      </c>
      <c r="Q1637" s="2" t="s">
        <v>19</v>
      </c>
    </row>
    <row r="1638" spans="1:17" ht="68" x14ac:dyDescent="0.2">
      <c r="A1638" t="s">
        <v>189</v>
      </c>
      <c r="B1638" t="s">
        <v>140</v>
      </c>
      <c r="C1638" t="s">
        <v>16</v>
      </c>
      <c r="D1638" s="3">
        <v>44291</v>
      </c>
      <c r="E1638" s="1">
        <v>44291.465578703705</v>
      </c>
      <c r="F1638" t="s">
        <v>17</v>
      </c>
      <c r="G1638" t="s">
        <v>38</v>
      </c>
      <c r="H1638" s="1">
        <v>44291.354166666664</v>
      </c>
      <c r="I1638" s="1">
        <v>44291.479166666664</v>
      </c>
      <c r="J1638" s="4">
        <f t="shared" si="25"/>
        <v>0.125</v>
      </c>
      <c r="K1638" t="s">
        <v>190</v>
      </c>
      <c r="M1638">
        <v>7</v>
      </c>
      <c r="N1638" s="6">
        <v>0</v>
      </c>
      <c r="Q1638" s="2" t="s">
        <v>19</v>
      </c>
    </row>
    <row r="1639" spans="1:17" ht="68" x14ac:dyDescent="0.2">
      <c r="A1639" t="s">
        <v>189</v>
      </c>
      <c r="B1639" t="s">
        <v>140</v>
      </c>
      <c r="C1639" t="s">
        <v>16</v>
      </c>
      <c r="D1639" s="3">
        <v>44292</v>
      </c>
      <c r="E1639" s="1">
        <v>44292.401990740742</v>
      </c>
      <c r="F1639" t="s">
        <v>17</v>
      </c>
      <c r="G1639" t="s">
        <v>44</v>
      </c>
      <c r="H1639" s="1">
        <v>44292.375</v>
      </c>
      <c r="I1639" s="1">
        <v>44292.489583333336</v>
      </c>
      <c r="J1639" s="4">
        <f t="shared" si="25"/>
        <v>0.11458333333575865</v>
      </c>
      <c r="K1639" t="s">
        <v>192</v>
      </c>
      <c r="M1639">
        <v>7</v>
      </c>
      <c r="N1639" s="6">
        <v>0</v>
      </c>
      <c r="Q1639" s="2" t="s">
        <v>19</v>
      </c>
    </row>
    <row r="1640" spans="1:17" ht="68" x14ac:dyDescent="0.2">
      <c r="A1640" t="s">
        <v>189</v>
      </c>
      <c r="B1640" t="s">
        <v>140</v>
      </c>
      <c r="C1640" t="s">
        <v>16</v>
      </c>
      <c r="D1640" s="3">
        <v>44292</v>
      </c>
      <c r="E1640" s="1">
        <v>44292.671076388891</v>
      </c>
      <c r="F1640" t="s">
        <v>17</v>
      </c>
      <c r="G1640" t="s">
        <v>45</v>
      </c>
      <c r="H1640" s="1">
        <v>44292.53125</v>
      </c>
      <c r="I1640" s="1">
        <v>44292.666666666664</v>
      </c>
      <c r="J1640" s="4">
        <f t="shared" si="25"/>
        <v>0.13541666666424135</v>
      </c>
      <c r="K1640" t="s">
        <v>193</v>
      </c>
      <c r="M1640">
        <v>39</v>
      </c>
      <c r="N1640" s="6">
        <v>0</v>
      </c>
      <c r="Q1640" s="2" t="s">
        <v>19</v>
      </c>
    </row>
    <row r="1641" spans="1:17" ht="68" x14ac:dyDescent="0.2">
      <c r="A1641" t="s">
        <v>189</v>
      </c>
      <c r="B1641" t="s">
        <v>140</v>
      </c>
      <c r="C1641" t="s">
        <v>16</v>
      </c>
      <c r="D1641" s="3">
        <v>44293</v>
      </c>
      <c r="E1641" s="1">
        <v>44293.382615740738</v>
      </c>
      <c r="F1641" t="s">
        <v>17</v>
      </c>
      <c r="G1641" t="s">
        <v>18</v>
      </c>
      <c r="H1641" s="1">
        <v>44293.354166666664</v>
      </c>
      <c r="I1641" s="1">
        <v>44293.479166666664</v>
      </c>
      <c r="J1641" s="4">
        <f t="shared" si="25"/>
        <v>0.125</v>
      </c>
      <c r="K1641" t="s">
        <v>190</v>
      </c>
      <c r="M1641">
        <v>14</v>
      </c>
      <c r="N1641" s="6">
        <v>0</v>
      </c>
      <c r="Q1641" s="2" t="s">
        <v>19</v>
      </c>
    </row>
    <row r="1642" spans="1:17" ht="68" x14ac:dyDescent="0.2">
      <c r="A1642" t="s">
        <v>189</v>
      </c>
      <c r="B1642" t="s">
        <v>140</v>
      </c>
      <c r="C1642" t="s">
        <v>16</v>
      </c>
      <c r="D1642" s="3">
        <v>44293</v>
      </c>
      <c r="E1642" s="1">
        <v>44293.461018518516</v>
      </c>
      <c r="F1642" t="s">
        <v>17</v>
      </c>
      <c r="G1642" t="s">
        <v>18</v>
      </c>
      <c r="H1642" s="1">
        <v>44293.354166666664</v>
      </c>
      <c r="I1642" s="1">
        <v>44293.479166666664</v>
      </c>
      <c r="J1642" s="4">
        <f t="shared" si="25"/>
        <v>0.125</v>
      </c>
      <c r="K1642" t="s">
        <v>190</v>
      </c>
      <c r="M1642">
        <v>2</v>
      </c>
      <c r="N1642" s="6">
        <v>0</v>
      </c>
      <c r="Q1642" s="2" t="s">
        <v>19</v>
      </c>
    </row>
    <row r="1643" spans="1:17" ht="68" x14ac:dyDescent="0.2">
      <c r="A1643" t="s">
        <v>189</v>
      </c>
      <c r="B1643" t="s">
        <v>140</v>
      </c>
      <c r="C1643" t="s">
        <v>16</v>
      </c>
      <c r="D1643" s="3">
        <v>44294</v>
      </c>
      <c r="E1643" s="1">
        <v>44294.487314814818</v>
      </c>
      <c r="F1643" t="s">
        <v>17</v>
      </c>
      <c r="G1643" t="s">
        <v>46</v>
      </c>
      <c r="H1643" s="1">
        <v>44294.375</v>
      </c>
      <c r="I1643" s="1">
        <v>44294.489583333336</v>
      </c>
      <c r="J1643" s="4">
        <f t="shared" si="25"/>
        <v>0.11458333333575865</v>
      </c>
      <c r="K1643" t="s">
        <v>194</v>
      </c>
      <c r="M1643">
        <v>4</v>
      </c>
      <c r="N1643" s="6">
        <v>0</v>
      </c>
      <c r="Q1643" s="2" t="s">
        <v>19</v>
      </c>
    </row>
    <row r="1644" spans="1:17" ht="68" x14ac:dyDescent="0.2">
      <c r="A1644" t="s">
        <v>189</v>
      </c>
      <c r="B1644" t="s">
        <v>140</v>
      </c>
      <c r="C1644" t="s">
        <v>16</v>
      </c>
      <c r="D1644" s="3">
        <v>44294</v>
      </c>
      <c r="E1644" s="1">
        <v>44294.552673611113</v>
      </c>
      <c r="F1644" t="s">
        <v>17</v>
      </c>
      <c r="G1644" t="s">
        <v>42</v>
      </c>
      <c r="H1644" s="1">
        <v>44294.53125</v>
      </c>
      <c r="I1644" s="1">
        <v>44294.666666666664</v>
      </c>
      <c r="J1644" s="4">
        <f t="shared" si="25"/>
        <v>0.13541666666424135</v>
      </c>
      <c r="K1644" t="s">
        <v>192</v>
      </c>
      <c r="M1644">
        <v>4</v>
      </c>
      <c r="N1644" s="6">
        <v>0</v>
      </c>
      <c r="Q1644" s="2" t="s">
        <v>19</v>
      </c>
    </row>
    <row r="1645" spans="1:17" ht="68" x14ac:dyDescent="0.2">
      <c r="A1645" t="s">
        <v>189</v>
      </c>
      <c r="B1645" t="s">
        <v>140</v>
      </c>
      <c r="C1645" t="s">
        <v>16</v>
      </c>
      <c r="D1645" s="3">
        <v>44294</v>
      </c>
      <c r="E1645" s="1">
        <v>44294.647152777776</v>
      </c>
      <c r="F1645" t="s">
        <v>17</v>
      </c>
      <c r="G1645" t="s">
        <v>42</v>
      </c>
      <c r="H1645" s="1">
        <v>44294.53125</v>
      </c>
      <c r="I1645" s="1">
        <v>44294.666666666664</v>
      </c>
      <c r="J1645" s="4">
        <f t="shared" si="25"/>
        <v>0.13541666666424135</v>
      </c>
      <c r="K1645" t="s">
        <v>192</v>
      </c>
      <c r="M1645">
        <v>2</v>
      </c>
      <c r="N1645" s="6">
        <v>0</v>
      </c>
      <c r="Q1645" s="2" t="s">
        <v>19</v>
      </c>
    </row>
    <row r="1646" spans="1:17" ht="68" x14ac:dyDescent="0.2">
      <c r="A1646" t="s">
        <v>189</v>
      </c>
      <c r="B1646" t="s">
        <v>140</v>
      </c>
      <c r="C1646" t="s">
        <v>16</v>
      </c>
      <c r="D1646" s="3">
        <v>44294</v>
      </c>
      <c r="E1646" s="1">
        <v>44294.669768518521</v>
      </c>
      <c r="F1646" t="s">
        <v>17</v>
      </c>
      <c r="G1646" t="s">
        <v>42</v>
      </c>
      <c r="H1646" s="1">
        <v>44294.53125</v>
      </c>
      <c r="I1646" s="1">
        <v>44294.666666666664</v>
      </c>
      <c r="J1646" s="4">
        <f t="shared" si="25"/>
        <v>0.13541666666424135</v>
      </c>
      <c r="K1646" t="s">
        <v>192</v>
      </c>
      <c r="M1646">
        <v>0</v>
      </c>
      <c r="N1646" s="6">
        <v>0</v>
      </c>
      <c r="Q1646" s="2" t="s">
        <v>19</v>
      </c>
    </row>
    <row r="1647" spans="1:17" ht="68" x14ac:dyDescent="0.2">
      <c r="A1647" t="s">
        <v>189</v>
      </c>
      <c r="B1647" t="s">
        <v>140</v>
      </c>
      <c r="C1647" t="s">
        <v>16</v>
      </c>
      <c r="D1647" s="3">
        <v>44295</v>
      </c>
      <c r="E1647" s="1">
        <v>44295.363715277781</v>
      </c>
      <c r="F1647" t="s">
        <v>17</v>
      </c>
      <c r="G1647" t="s">
        <v>31</v>
      </c>
      <c r="H1647" s="1">
        <v>44295.354166666664</v>
      </c>
      <c r="I1647" s="1">
        <v>44295.479166666664</v>
      </c>
      <c r="J1647" s="4">
        <f t="shared" si="25"/>
        <v>0.125</v>
      </c>
      <c r="K1647" t="s">
        <v>190</v>
      </c>
      <c r="M1647">
        <v>12</v>
      </c>
      <c r="N1647" s="6">
        <v>0</v>
      </c>
      <c r="Q1647" s="2" t="s">
        <v>19</v>
      </c>
    </row>
    <row r="1648" spans="1:17" ht="68" x14ac:dyDescent="0.2">
      <c r="A1648" t="s">
        <v>189</v>
      </c>
      <c r="B1648" t="s">
        <v>140</v>
      </c>
      <c r="C1648" t="s">
        <v>16</v>
      </c>
      <c r="D1648" s="3">
        <v>44298</v>
      </c>
      <c r="E1648" s="1">
        <v>44298.539872685185</v>
      </c>
      <c r="F1648" t="s">
        <v>17</v>
      </c>
      <c r="G1648" t="s">
        <v>45</v>
      </c>
      <c r="H1648" s="1">
        <v>44298.53125</v>
      </c>
      <c r="I1648" s="1">
        <v>44298.666666666664</v>
      </c>
      <c r="J1648" s="4">
        <f t="shared" si="25"/>
        <v>0.13541666666424135</v>
      </c>
      <c r="K1648" t="s">
        <v>195</v>
      </c>
      <c r="M1648">
        <v>42</v>
      </c>
      <c r="N1648" s="6">
        <v>0</v>
      </c>
      <c r="Q1648" s="2" t="s">
        <v>19</v>
      </c>
    </row>
    <row r="1649" spans="1:17" ht="68" x14ac:dyDescent="0.2">
      <c r="A1649" t="s">
        <v>189</v>
      </c>
      <c r="B1649" t="s">
        <v>140</v>
      </c>
      <c r="C1649" t="s">
        <v>16</v>
      </c>
      <c r="D1649" s="3">
        <v>44298</v>
      </c>
      <c r="E1649" s="1">
        <v>44298.668252314812</v>
      </c>
      <c r="F1649" t="s">
        <v>17</v>
      </c>
      <c r="G1649" t="s">
        <v>45</v>
      </c>
      <c r="H1649" s="1">
        <v>44298.53125</v>
      </c>
      <c r="I1649" s="1">
        <v>44298.666666666664</v>
      </c>
      <c r="J1649" s="4">
        <f t="shared" si="25"/>
        <v>0.13541666666424135</v>
      </c>
      <c r="K1649" t="s">
        <v>195</v>
      </c>
      <c r="M1649">
        <v>48</v>
      </c>
      <c r="N1649" s="6">
        <v>0</v>
      </c>
      <c r="Q1649" s="2" t="s">
        <v>19</v>
      </c>
    </row>
    <row r="1650" spans="1:17" ht="68" x14ac:dyDescent="0.2">
      <c r="A1650" t="s">
        <v>189</v>
      </c>
      <c r="B1650" t="s">
        <v>140</v>
      </c>
      <c r="C1650" t="s">
        <v>16</v>
      </c>
      <c r="D1650" s="3">
        <v>44299</v>
      </c>
      <c r="E1650" s="1">
        <v>44299.386932870373</v>
      </c>
      <c r="F1650" t="s">
        <v>17</v>
      </c>
      <c r="G1650" t="s">
        <v>47</v>
      </c>
      <c r="H1650" s="1">
        <v>44299.375</v>
      </c>
      <c r="I1650" s="1">
        <v>44299.510416666664</v>
      </c>
      <c r="J1650" s="4">
        <f t="shared" si="25"/>
        <v>0.13541666666424135</v>
      </c>
      <c r="K1650" t="s">
        <v>192</v>
      </c>
      <c r="M1650">
        <v>6</v>
      </c>
      <c r="N1650" s="6">
        <v>0</v>
      </c>
      <c r="Q1650" s="2" t="s">
        <v>19</v>
      </c>
    </row>
    <row r="1651" spans="1:17" ht="68" x14ac:dyDescent="0.2">
      <c r="A1651" t="s">
        <v>189</v>
      </c>
      <c r="B1651" t="s">
        <v>140</v>
      </c>
      <c r="C1651" t="s">
        <v>16</v>
      </c>
      <c r="D1651" s="3">
        <v>44299</v>
      </c>
      <c r="E1651" s="1">
        <v>44299.544803240744</v>
      </c>
      <c r="F1651" t="s">
        <v>17</v>
      </c>
      <c r="G1651" t="s">
        <v>48</v>
      </c>
      <c r="H1651" s="1">
        <v>44299.53125</v>
      </c>
      <c r="I1651" s="1">
        <v>44299.635416666664</v>
      </c>
      <c r="J1651" s="4">
        <f t="shared" si="25"/>
        <v>0.10416666666424135</v>
      </c>
      <c r="K1651" t="s">
        <v>192</v>
      </c>
      <c r="M1651">
        <v>8</v>
      </c>
      <c r="N1651" s="6">
        <v>0</v>
      </c>
      <c r="Q1651" s="2" t="s">
        <v>19</v>
      </c>
    </row>
    <row r="1652" spans="1:17" ht="68" x14ac:dyDescent="0.2">
      <c r="A1652" t="s">
        <v>189</v>
      </c>
      <c r="B1652" t="s">
        <v>140</v>
      </c>
      <c r="C1652" t="s">
        <v>16</v>
      </c>
      <c r="D1652" s="3">
        <v>44299</v>
      </c>
      <c r="E1652" s="1">
        <v>44299.667372685188</v>
      </c>
      <c r="F1652" t="s">
        <v>17</v>
      </c>
      <c r="G1652" t="s">
        <v>49</v>
      </c>
      <c r="H1652" s="1">
        <v>44299.63958333333</v>
      </c>
      <c r="I1652" s="1">
        <v>44299.666666666664</v>
      </c>
      <c r="J1652" s="4">
        <f t="shared" si="25"/>
        <v>2.7083333334303461E-2</v>
      </c>
      <c r="K1652" t="s">
        <v>196</v>
      </c>
      <c r="M1652">
        <v>11</v>
      </c>
      <c r="N1652" s="6">
        <v>0</v>
      </c>
      <c r="Q1652" s="2" t="s">
        <v>19</v>
      </c>
    </row>
    <row r="1653" spans="1:17" ht="68" x14ac:dyDescent="0.2">
      <c r="A1653" t="s">
        <v>189</v>
      </c>
      <c r="B1653" t="s">
        <v>140</v>
      </c>
      <c r="C1653" t="s">
        <v>16</v>
      </c>
      <c r="D1653" s="3">
        <v>44300</v>
      </c>
      <c r="E1653" s="1">
        <v>44300.490659722222</v>
      </c>
      <c r="F1653" t="s">
        <v>17</v>
      </c>
      <c r="G1653" t="s">
        <v>50</v>
      </c>
      <c r="H1653" s="1">
        <v>44300.375</v>
      </c>
      <c r="I1653" s="1">
        <v>44300.489583333336</v>
      </c>
      <c r="J1653" s="4">
        <f t="shared" si="25"/>
        <v>0.11458333333575865</v>
      </c>
      <c r="K1653" t="s">
        <v>197</v>
      </c>
      <c r="M1653">
        <v>7</v>
      </c>
      <c r="N1653" s="6">
        <v>0</v>
      </c>
      <c r="Q1653" s="2" t="s">
        <v>19</v>
      </c>
    </row>
    <row r="1654" spans="1:17" ht="68" x14ac:dyDescent="0.2">
      <c r="A1654" t="s">
        <v>189</v>
      </c>
      <c r="B1654" t="s">
        <v>140</v>
      </c>
      <c r="C1654" t="s">
        <v>16</v>
      </c>
      <c r="D1654" s="3">
        <v>44300</v>
      </c>
      <c r="E1654" s="1">
        <v>44300.558645833335</v>
      </c>
      <c r="F1654" t="s">
        <v>17</v>
      </c>
      <c r="G1654" t="s">
        <v>51</v>
      </c>
      <c r="H1654" s="1">
        <v>44300.552083333336</v>
      </c>
      <c r="I1654" s="1">
        <v>44300.666666666664</v>
      </c>
      <c r="J1654" s="4">
        <f t="shared" si="25"/>
        <v>0.11458333332848269</v>
      </c>
      <c r="K1654" t="s">
        <v>198</v>
      </c>
      <c r="M1654">
        <v>4</v>
      </c>
      <c r="N1654" s="6">
        <v>0</v>
      </c>
      <c r="Q1654" s="2" t="s">
        <v>19</v>
      </c>
    </row>
    <row r="1655" spans="1:17" ht="68" x14ac:dyDescent="0.2">
      <c r="A1655" t="s">
        <v>189</v>
      </c>
      <c r="B1655" t="s">
        <v>140</v>
      </c>
      <c r="C1655" t="s">
        <v>16</v>
      </c>
      <c r="D1655" s="3">
        <v>44301</v>
      </c>
      <c r="E1655" s="1">
        <v>44301.389652777776</v>
      </c>
      <c r="F1655" t="s">
        <v>17</v>
      </c>
      <c r="G1655" t="s">
        <v>52</v>
      </c>
      <c r="H1655" s="1">
        <v>44301.375</v>
      </c>
      <c r="I1655" s="1">
        <v>44301.510416666664</v>
      </c>
      <c r="J1655" s="4">
        <f t="shared" si="25"/>
        <v>0.13541666666424135</v>
      </c>
      <c r="K1655" t="s">
        <v>192</v>
      </c>
      <c r="M1655">
        <v>20</v>
      </c>
      <c r="N1655" s="6">
        <v>0</v>
      </c>
      <c r="Q1655" s="2" t="s">
        <v>19</v>
      </c>
    </row>
    <row r="1656" spans="1:17" ht="68" x14ac:dyDescent="0.2">
      <c r="A1656" t="s">
        <v>189</v>
      </c>
      <c r="B1656" t="s">
        <v>140</v>
      </c>
      <c r="C1656" t="s">
        <v>16</v>
      </c>
      <c r="D1656" s="3">
        <v>44301</v>
      </c>
      <c r="E1656" s="1">
        <v>44301.543773148151</v>
      </c>
      <c r="F1656" t="s">
        <v>17</v>
      </c>
      <c r="G1656" t="s">
        <v>37</v>
      </c>
      <c r="H1656" s="1">
        <v>44301.53125</v>
      </c>
      <c r="I1656" s="1">
        <v>44301.666666666664</v>
      </c>
      <c r="J1656" s="4">
        <f t="shared" si="25"/>
        <v>0.13541666666424135</v>
      </c>
      <c r="K1656" t="s">
        <v>192</v>
      </c>
      <c r="M1656">
        <v>16</v>
      </c>
      <c r="N1656" s="6">
        <v>0</v>
      </c>
      <c r="Q1656" s="2" t="s">
        <v>19</v>
      </c>
    </row>
    <row r="1657" spans="1:17" ht="68" x14ac:dyDescent="0.2">
      <c r="A1657" t="s">
        <v>189</v>
      </c>
      <c r="B1657" t="s">
        <v>140</v>
      </c>
      <c r="C1657" t="s">
        <v>16</v>
      </c>
      <c r="D1657" s="3">
        <v>44302</v>
      </c>
      <c r="E1657" s="1">
        <v>44302.489490740743</v>
      </c>
      <c r="F1657" t="s">
        <v>17</v>
      </c>
      <c r="G1657" t="s">
        <v>53</v>
      </c>
      <c r="H1657" s="1">
        <v>44302.395833333336</v>
      </c>
      <c r="I1657" s="1">
        <v>44302.489583333336</v>
      </c>
      <c r="J1657" s="4">
        <f t="shared" si="25"/>
        <v>9.375E-2</v>
      </c>
      <c r="K1657" t="s">
        <v>199</v>
      </c>
      <c r="M1657">
        <v>58</v>
      </c>
      <c r="N1657" s="6">
        <v>0</v>
      </c>
      <c r="Q1657" s="2" t="s">
        <v>19</v>
      </c>
    </row>
    <row r="1658" spans="1:17" ht="68" x14ac:dyDescent="0.2">
      <c r="A1658" t="s">
        <v>189</v>
      </c>
      <c r="B1658" t="s">
        <v>140</v>
      </c>
      <c r="C1658" t="s">
        <v>16</v>
      </c>
      <c r="D1658" s="3">
        <v>44302</v>
      </c>
      <c r="E1658" s="1">
        <v>44302.546388888892</v>
      </c>
      <c r="F1658" t="s">
        <v>17</v>
      </c>
      <c r="G1658" t="s">
        <v>54</v>
      </c>
      <c r="H1658" s="1">
        <v>44302.53125</v>
      </c>
      <c r="I1658" s="1">
        <v>44302.666666666664</v>
      </c>
      <c r="J1658" s="4">
        <f t="shared" si="25"/>
        <v>0.13541666666424135</v>
      </c>
      <c r="K1658" t="s">
        <v>195</v>
      </c>
      <c r="M1658">
        <v>53</v>
      </c>
      <c r="N1658" s="6">
        <v>0</v>
      </c>
      <c r="Q1658" s="2" t="s">
        <v>19</v>
      </c>
    </row>
    <row r="1659" spans="1:17" ht="68" x14ac:dyDescent="0.2">
      <c r="A1659" t="s">
        <v>189</v>
      </c>
      <c r="B1659" t="s">
        <v>140</v>
      </c>
      <c r="C1659" t="s">
        <v>16</v>
      </c>
      <c r="D1659" s="3">
        <v>44302</v>
      </c>
      <c r="E1659" s="1">
        <v>44302.660300925927</v>
      </c>
      <c r="F1659" t="s">
        <v>17</v>
      </c>
      <c r="G1659" t="s">
        <v>54</v>
      </c>
      <c r="H1659" s="1">
        <v>44302.53125</v>
      </c>
      <c r="I1659" s="1">
        <v>44302.666666666664</v>
      </c>
      <c r="J1659" s="4">
        <f t="shared" si="25"/>
        <v>0.13541666666424135</v>
      </c>
      <c r="K1659" t="s">
        <v>195</v>
      </c>
      <c r="M1659">
        <v>45</v>
      </c>
      <c r="N1659" s="6">
        <v>0</v>
      </c>
      <c r="Q1659" s="2" t="s">
        <v>19</v>
      </c>
    </row>
    <row r="1660" spans="1:17" ht="68" x14ac:dyDescent="0.2">
      <c r="A1660" t="s">
        <v>189</v>
      </c>
      <c r="B1660" t="s">
        <v>140</v>
      </c>
      <c r="C1660" t="s">
        <v>16</v>
      </c>
      <c r="D1660" s="3">
        <v>44307</v>
      </c>
      <c r="E1660" s="1">
        <v>44307.489155092589</v>
      </c>
      <c r="F1660" t="s">
        <v>17</v>
      </c>
      <c r="G1660" t="s">
        <v>36</v>
      </c>
      <c r="H1660" s="1">
        <v>44307.375</v>
      </c>
      <c r="I1660" s="1">
        <v>44307.489583333336</v>
      </c>
      <c r="J1660" s="4">
        <f t="shared" si="25"/>
        <v>0.11458333333575865</v>
      </c>
      <c r="K1660" t="s">
        <v>197</v>
      </c>
      <c r="M1660">
        <v>0</v>
      </c>
      <c r="N1660" s="6">
        <v>0</v>
      </c>
      <c r="Q1660" s="2" t="s">
        <v>19</v>
      </c>
    </row>
    <row r="1661" spans="1:17" ht="68" x14ac:dyDescent="0.2">
      <c r="A1661" t="s">
        <v>189</v>
      </c>
      <c r="B1661" t="s">
        <v>140</v>
      </c>
      <c r="C1661" t="s">
        <v>16</v>
      </c>
      <c r="D1661" s="3">
        <v>44307</v>
      </c>
      <c r="E1661" s="1">
        <v>44307.650081018517</v>
      </c>
      <c r="F1661" t="s">
        <v>17</v>
      </c>
      <c r="G1661" t="s">
        <v>37</v>
      </c>
      <c r="H1661" s="1">
        <v>44307.53125</v>
      </c>
      <c r="I1661" s="1">
        <v>44307.666666666664</v>
      </c>
      <c r="J1661" s="4">
        <f t="shared" si="25"/>
        <v>0.13541666666424135</v>
      </c>
      <c r="K1661" t="s">
        <v>195</v>
      </c>
      <c r="M1661">
        <v>68</v>
      </c>
      <c r="N1661" s="6">
        <v>0</v>
      </c>
      <c r="Q1661" s="2" t="s">
        <v>19</v>
      </c>
    </row>
    <row r="1662" spans="1:17" ht="68" x14ac:dyDescent="0.2">
      <c r="A1662" t="s">
        <v>189</v>
      </c>
      <c r="B1662" t="s">
        <v>140</v>
      </c>
      <c r="C1662" t="s">
        <v>16</v>
      </c>
      <c r="D1662" s="3">
        <v>44308</v>
      </c>
      <c r="E1662" s="1">
        <v>44308.386840277781</v>
      </c>
      <c r="F1662" t="s">
        <v>17</v>
      </c>
      <c r="G1662" t="s">
        <v>55</v>
      </c>
      <c r="H1662" s="1">
        <v>44308.375</v>
      </c>
      <c r="I1662" s="1">
        <v>44308.510416666664</v>
      </c>
      <c r="J1662" s="4">
        <f t="shared" si="25"/>
        <v>0.13541666666424135</v>
      </c>
      <c r="K1662" t="s">
        <v>200</v>
      </c>
      <c r="M1662">
        <v>20</v>
      </c>
      <c r="N1662" s="6">
        <v>0</v>
      </c>
      <c r="Q1662" s="2" t="s">
        <v>19</v>
      </c>
    </row>
    <row r="1663" spans="1:17" ht="68" x14ac:dyDescent="0.2">
      <c r="A1663" t="s">
        <v>189</v>
      </c>
      <c r="B1663" t="s">
        <v>140</v>
      </c>
      <c r="C1663" t="s">
        <v>16</v>
      </c>
      <c r="D1663" s="3">
        <v>44308</v>
      </c>
      <c r="E1663" s="1">
        <v>44308.499513888892</v>
      </c>
      <c r="F1663" t="s">
        <v>17</v>
      </c>
      <c r="G1663" t="s">
        <v>55</v>
      </c>
      <c r="H1663" s="1">
        <v>44308.375</v>
      </c>
      <c r="I1663" s="1">
        <v>44308.510416666664</v>
      </c>
      <c r="J1663" s="4">
        <f t="shared" si="25"/>
        <v>0.13541666666424135</v>
      </c>
      <c r="K1663" t="s">
        <v>200</v>
      </c>
      <c r="M1663">
        <v>13</v>
      </c>
      <c r="N1663" s="6">
        <v>0</v>
      </c>
      <c r="Q1663" s="2" t="s">
        <v>19</v>
      </c>
    </row>
    <row r="1664" spans="1:17" ht="68" x14ac:dyDescent="0.2">
      <c r="A1664" t="s">
        <v>189</v>
      </c>
      <c r="B1664" t="s">
        <v>140</v>
      </c>
      <c r="C1664" t="s">
        <v>16</v>
      </c>
      <c r="D1664" s="3">
        <v>44308</v>
      </c>
      <c r="E1664" s="1">
        <v>44308.503865740742</v>
      </c>
      <c r="F1664" t="s">
        <v>17</v>
      </c>
      <c r="G1664" t="s">
        <v>55</v>
      </c>
      <c r="H1664" s="1">
        <v>44308.375</v>
      </c>
      <c r="I1664" s="1">
        <v>44308.510416666664</v>
      </c>
      <c r="J1664" s="4">
        <f t="shared" si="25"/>
        <v>0.13541666666424135</v>
      </c>
      <c r="K1664" t="s">
        <v>200</v>
      </c>
      <c r="M1664">
        <v>23</v>
      </c>
      <c r="N1664" s="6">
        <v>0</v>
      </c>
      <c r="Q1664" s="2" t="s">
        <v>19</v>
      </c>
    </row>
    <row r="1665" spans="1:17" ht="68" x14ac:dyDescent="0.2">
      <c r="A1665" t="s">
        <v>189</v>
      </c>
      <c r="B1665" t="s">
        <v>140</v>
      </c>
      <c r="C1665" t="s">
        <v>16</v>
      </c>
      <c r="D1665" s="3">
        <v>44308</v>
      </c>
      <c r="E1665" s="1">
        <v>44308.548275462963</v>
      </c>
      <c r="F1665" t="s">
        <v>17</v>
      </c>
      <c r="G1665" t="s">
        <v>56</v>
      </c>
      <c r="H1665" s="1">
        <v>44308.541666666664</v>
      </c>
      <c r="I1665" s="1">
        <v>44308.666666666664</v>
      </c>
      <c r="J1665" s="4">
        <f t="shared" si="25"/>
        <v>0.125</v>
      </c>
      <c r="K1665" t="s">
        <v>192</v>
      </c>
      <c r="M1665">
        <v>27</v>
      </c>
      <c r="N1665" s="6">
        <v>0</v>
      </c>
      <c r="Q1665" s="2" t="s">
        <v>19</v>
      </c>
    </row>
    <row r="1666" spans="1:17" ht="68" x14ac:dyDescent="0.2">
      <c r="A1666" t="s">
        <v>189</v>
      </c>
      <c r="B1666" t="s">
        <v>140</v>
      </c>
      <c r="C1666" t="s">
        <v>16</v>
      </c>
      <c r="D1666" s="3">
        <v>44309</v>
      </c>
      <c r="E1666" s="1">
        <v>44309.390046296299</v>
      </c>
      <c r="F1666" t="s">
        <v>17</v>
      </c>
      <c r="G1666" t="s">
        <v>100</v>
      </c>
      <c r="H1666" s="1">
        <v>44309.375</v>
      </c>
      <c r="I1666" s="1">
        <v>44309.489583333336</v>
      </c>
      <c r="J1666" s="4">
        <f t="shared" si="25"/>
        <v>0.11458333333575865</v>
      </c>
      <c r="K1666" t="s">
        <v>222</v>
      </c>
      <c r="M1666">
        <v>4</v>
      </c>
      <c r="N1666" s="6">
        <v>0</v>
      </c>
      <c r="Q1666" s="2" t="s">
        <v>19</v>
      </c>
    </row>
    <row r="1667" spans="1:17" ht="68" x14ac:dyDescent="0.2">
      <c r="A1667" t="s">
        <v>189</v>
      </c>
      <c r="B1667" t="s">
        <v>140</v>
      </c>
      <c r="C1667" t="s">
        <v>16</v>
      </c>
      <c r="D1667" s="3">
        <v>44309</v>
      </c>
      <c r="E1667" s="1">
        <v>44309.578402777777</v>
      </c>
      <c r="F1667" t="s">
        <v>17</v>
      </c>
      <c r="G1667" t="s">
        <v>42</v>
      </c>
      <c r="H1667" s="1">
        <v>44309.53125</v>
      </c>
      <c r="I1667" s="1">
        <v>44309.666666666664</v>
      </c>
      <c r="J1667" s="4">
        <f t="shared" ref="J1667:J1730" si="26">IF($I1667="","",$I1667-$H1667)</f>
        <v>0.13541666666424135</v>
      </c>
      <c r="K1667" t="s">
        <v>207</v>
      </c>
      <c r="M1667">
        <v>4</v>
      </c>
      <c r="N1667" s="6">
        <v>0</v>
      </c>
      <c r="Q1667" s="2" t="s">
        <v>19</v>
      </c>
    </row>
    <row r="1668" spans="1:17" ht="68" x14ac:dyDescent="0.2">
      <c r="A1668" t="s">
        <v>189</v>
      </c>
      <c r="B1668" t="s">
        <v>140</v>
      </c>
      <c r="C1668" t="s">
        <v>16</v>
      </c>
      <c r="D1668" s="3">
        <v>44312</v>
      </c>
      <c r="E1668" s="1">
        <v>44312.509317129632</v>
      </c>
      <c r="F1668" t="s">
        <v>17</v>
      </c>
      <c r="G1668" t="s">
        <v>44</v>
      </c>
      <c r="H1668" s="1">
        <v>44312.375</v>
      </c>
      <c r="I1668" s="1">
        <v>44312.510416666664</v>
      </c>
      <c r="J1668" s="4">
        <f t="shared" si="26"/>
        <v>0.13541666666424135</v>
      </c>
      <c r="K1668" t="s">
        <v>201</v>
      </c>
      <c r="M1668">
        <v>18</v>
      </c>
      <c r="N1668" s="6">
        <v>0</v>
      </c>
      <c r="Q1668" s="2" t="s">
        <v>19</v>
      </c>
    </row>
    <row r="1669" spans="1:17" ht="68" x14ac:dyDescent="0.2">
      <c r="A1669" t="s">
        <v>189</v>
      </c>
      <c r="B1669" t="s">
        <v>140</v>
      </c>
      <c r="C1669" t="s">
        <v>16</v>
      </c>
      <c r="D1669" s="3">
        <v>44312</v>
      </c>
      <c r="E1669" s="1">
        <v>44312.659039351849</v>
      </c>
      <c r="F1669" t="s">
        <v>17</v>
      </c>
      <c r="G1669" t="s">
        <v>57</v>
      </c>
      <c r="H1669" s="1">
        <v>44312.53125</v>
      </c>
      <c r="I1669" s="1">
        <v>44312.666666666664</v>
      </c>
      <c r="J1669" s="4">
        <f t="shared" si="26"/>
        <v>0.13541666666424135</v>
      </c>
      <c r="K1669" t="s">
        <v>195</v>
      </c>
      <c r="M1669">
        <v>80</v>
      </c>
      <c r="N1669" s="6">
        <v>0</v>
      </c>
      <c r="Q1669" s="2" t="s">
        <v>19</v>
      </c>
    </row>
    <row r="1670" spans="1:17" ht="68" x14ac:dyDescent="0.2">
      <c r="A1670" t="s">
        <v>189</v>
      </c>
      <c r="B1670" t="s">
        <v>140</v>
      </c>
      <c r="C1670" t="s">
        <v>16</v>
      </c>
      <c r="D1670" s="3">
        <v>44313</v>
      </c>
      <c r="E1670" s="1">
        <v>44313.488310185188</v>
      </c>
      <c r="F1670" t="s">
        <v>17</v>
      </c>
      <c r="G1670" t="s">
        <v>55</v>
      </c>
      <c r="H1670" s="1">
        <v>44313.375</v>
      </c>
      <c r="I1670" s="1">
        <v>44313.489583333336</v>
      </c>
      <c r="J1670" s="4">
        <f t="shared" si="26"/>
        <v>0.11458333333575865</v>
      </c>
      <c r="K1670" t="s">
        <v>200</v>
      </c>
      <c r="M1670">
        <v>28</v>
      </c>
      <c r="N1670" s="6">
        <v>0</v>
      </c>
      <c r="Q1670" s="2" t="s">
        <v>19</v>
      </c>
    </row>
    <row r="1671" spans="1:17" ht="68" x14ac:dyDescent="0.2">
      <c r="A1671" t="s">
        <v>189</v>
      </c>
      <c r="B1671" t="s">
        <v>140</v>
      </c>
      <c r="C1671" t="s">
        <v>16</v>
      </c>
      <c r="D1671" s="3">
        <v>44313</v>
      </c>
      <c r="E1671" s="1">
        <v>44313.539606481485</v>
      </c>
      <c r="F1671" t="s">
        <v>17</v>
      </c>
      <c r="G1671" t="s">
        <v>37</v>
      </c>
      <c r="H1671" s="1">
        <v>44313.53125</v>
      </c>
      <c r="I1671" s="1">
        <v>44313.541666666664</v>
      </c>
      <c r="J1671" s="4">
        <f t="shared" si="26"/>
        <v>1.0416666664241347E-2</v>
      </c>
      <c r="K1671" t="s">
        <v>202</v>
      </c>
      <c r="M1671">
        <v>0</v>
      </c>
      <c r="N1671" s="6">
        <v>0</v>
      </c>
      <c r="Q1671" s="2" t="s">
        <v>19</v>
      </c>
    </row>
    <row r="1672" spans="1:17" ht="68" x14ac:dyDescent="0.2">
      <c r="A1672" t="s">
        <v>189</v>
      </c>
      <c r="B1672" t="s">
        <v>140</v>
      </c>
      <c r="C1672" t="s">
        <v>16</v>
      </c>
      <c r="D1672" s="3">
        <v>44313</v>
      </c>
      <c r="E1672" s="1">
        <v>44313.664548611108</v>
      </c>
      <c r="F1672" t="s">
        <v>17</v>
      </c>
      <c r="G1672" t="s">
        <v>58</v>
      </c>
      <c r="H1672" s="1">
        <v>44313.541666666664</v>
      </c>
      <c r="I1672" s="1">
        <v>44313.666666666664</v>
      </c>
      <c r="J1672" s="4">
        <f t="shared" si="26"/>
        <v>0.125</v>
      </c>
      <c r="K1672" t="s">
        <v>192</v>
      </c>
      <c r="M1672">
        <v>41</v>
      </c>
      <c r="N1672" s="6">
        <v>0</v>
      </c>
      <c r="Q1672" s="2" t="s">
        <v>19</v>
      </c>
    </row>
    <row r="1673" spans="1:17" ht="68" x14ac:dyDescent="0.2">
      <c r="A1673" t="s">
        <v>189</v>
      </c>
      <c r="B1673" t="s">
        <v>140</v>
      </c>
      <c r="C1673" t="s">
        <v>16</v>
      </c>
      <c r="D1673" s="3">
        <v>44314</v>
      </c>
      <c r="E1673" s="1">
        <v>44314.491701388892</v>
      </c>
      <c r="F1673" t="s">
        <v>17</v>
      </c>
      <c r="G1673" t="s">
        <v>53</v>
      </c>
      <c r="H1673" s="1">
        <v>44314.375</v>
      </c>
      <c r="I1673" s="1">
        <v>44314.489583333336</v>
      </c>
      <c r="J1673" s="4">
        <f t="shared" si="26"/>
        <v>0.11458333333575865</v>
      </c>
      <c r="K1673" t="s">
        <v>203</v>
      </c>
      <c r="M1673">
        <v>24</v>
      </c>
      <c r="N1673" s="6">
        <v>0</v>
      </c>
      <c r="Q1673" s="2" t="s">
        <v>19</v>
      </c>
    </row>
    <row r="1674" spans="1:17" ht="68" x14ac:dyDescent="0.2">
      <c r="A1674" t="s">
        <v>189</v>
      </c>
      <c r="B1674" t="s">
        <v>140</v>
      </c>
      <c r="C1674" t="s">
        <v>16</v>
      </c>
      <c r="D1674" s="3">
        <v>44314</v>
      </c>
      <c r="E1674" s="1">
        <v>44314.497499999998</v>
      </c>
      <c r="F1674" t="s">
        <v>17</v>
      </c>
      <c r="G1674" t="s">
        <v>53</v>
      </c>
      <c r="H1674" s="1">
        <v>44314.375</v>
      </c>
      <c r="I1674" s="1">
        <v>44314.489583333336</v>
      </c>
      <c r="J1674" s="4">
        <f t="shared" si="26"/>
        <v>0.11458333333575865</v>
      </c>
      <c r="K1674" t="s">
        <v>203</v>
      </c>
      <c r="M1674">
        <v>0</v>
      </c>
      <c r="N1674" s="6">
        <v>0</v>
      </c>
      <c r="Q1674" s="2" t="s">
        <v>19</v>
      </c>
    </row>
    <row r="1675" spans="1:17" ht="68" x14ac:dyDescent="0.2">
      <c r="A1675" t="s">
        <v>189</v>
      </c>
      <c r="B1675" t="s">
        <v>140</v>
      </c>
      <c r="C1675" t="s">
        <v>16</v>
      </c>
      <c r="D1675" s="3">
        <v>44314</v>
      </c>
      <c r="E1675" s="1">
        <v>44314.659699074073</v>
      </c>
      <c r="F1675" t="s">
        <v>17</v>
      </c>
      <c r="G1675" t="s">
        <v>59</v>
      </c>
      <c r="H1675" s="1">
        <v>44314.53125</v>
      </c>
      <c r="I1675" s="1">
        <v>44314.666666666664</v>
      </c>
      <c r="J1675" s="4">
        <f t="shared" si="26"/>
        <v>0.13541666666424135</v>
      </c>
      <c r="K1675" t="s">
        <v>195</v>
      </c>
      <c r="M1675">
        <v>120</v>
      </c>
      <c r="N1675" s="6">
        <v>0</v>
      </c>
      <c r="Q1675" s="2" t="s">
        <v>19</v>
      </c>
    </row>
    <row r="1676" spans="1:17" ht="68" x14ac:dyDescent="0.2">
      <c r="A1676" t="s">
        <v>189</v>
      </c>
      <c r="B1676" t="s">
        <v>140</v>
      </c>
      <c r="C1676" t="s">
        <v>16</v>
      </c>
      <c r="D1676" s="3">
        <v>44315</v>
      </c>
      <c r="E1676" s="1">
        <v>44315.487303240741</v>
      </c>
      <c r="F1676" t="s">
        <v>17</v>
      </c>
      <c r="G1676" t="s">
        <v>43</v>
      </c>
      <c r="H1676" s="1">
        <v>44315.375</v>
      </c>
      <c r="I1676" s="1">
        <v>44315.489583333336</v>
      </c>
      <c r="J1676" s="4">
        <f t="shared" si="26"/>
        <v>0.11458333333575865</v>
      </c>
      <c r="K1676" t="s">
        <v>200</v>
      </c>
      <c r="M1676">
        <v>27</v>
      </c>
      <c r="N1676" s="6">
        <v>0</v>
      </c>
      <c r="Q1676" s="2" t="s">
        <v>19</v>
      </c>
    </row>
    <row r="1677" spans="1:17" ht="68" x14ac:dyDescent="0.2">
      <c r="A1677" t="s">
        <v>189</v>
      </c>
      <c r="B1677" t="s">
        <v>140</v>
      </c>
      <c r="C1677" t="s">
        <v>16</v>
      </c>
      <c r="D1677" s="3">
        <v>44315</v>
      </c>
      <c r="E1677" s="1">
        <v>44315.542546296296</v>
      </c>
      <c r="F1677" t="s">
        <v>17</v>
      </c>
      <c r="G1677" t="s">
        <v>35</v>
      </c>
      <c r="H1677" s="1">
        <v>44315.53125</v>
      </c>
      <c r="I1677" s="1">
        <v>44315.541666666664</v>
      </c>
      <c r="J1677" s="4">
        <f t="shared" si="26"/>
        <v>1.0416666664241347E-2</v>
      </c>
      <c r="K1677" t="s">
        <v>202</v>
      </c>
      <c r="M1677">
        <v>0</v>
      </c>
      <c r="N1677" s="6">
        <v>0</v>
      </c>
      <c r="Q1677" s="2" t="s">
        <v>19</v>
      </c>
    </row>
    <row r="1678" spans="1:17" ht="68" x14ac:dyDescent="0.2">
      <c r="A1678" t="s">
        <v>189</v>
      </c>
      <c r="B1678" t="s">
        <v>140</v>
      </c>
      <c r="C1678" t="s">
        <v>16</v>
      </c>
      <c r="D1678" s="3">
        <v>44315</v>
      </c>
      <c r="E1678" s="1">
        <v>44315.669618055559</v>
      </c>
      <c r="F1678" t="s">
        <v>17</v>
      </c>
      <c r="G1678" t="s">
        <v>60</v>
      </c>
      <c r="H1678" s="1">
        <v>44315.541666666664</v>
      </c>
      <c r="I1678" s="1">
        <v>44315.666666666664</v>
      </c>
      <c r="J1678" s="4">
        <f t="shared" si="26"/>
        <v>0.125</v>
      </c>
      <c r="K1678" t="s">
        <v>192</v>
      </c>
      <c r="M1678">
        <v>53</v>
      </c>
      <c r="N1678" s="6">
        <v>0</v>
      </c>
      <c r="Q1678" s="2" t="s">
        <v>19</v>
      </c>
    </row>
    <row r="1679" spans="1:17" ht="68" x14ac:dyDescent="0.2">
      <c r="A1679" t="s">
        <v>189</v>
      </c>
      <c r="B1679" t="s">
        <v>140</v>
      </c>
      <c r="C1679" t="s">
        <v>16</v>
      </c>
      <c r="D1679" s="3">
        <v>44316</v>
      </c>
      <c r="E1679" s="1">
        <v>44316.502210648148</v>
      </c>
      <c r="F1679" t="s">
        <v>17</v>
      </c>
      <c r="G1679" t="s">
        <v>61</v>
      </c>
      <c r="H1679" s="1">
        <v>44316.375</v>
      </c>
      <c r="I1679" s="1">
        <v>44316.489583333336</v>
      </c>
      <c r="J1679" s="4">
        <f t="shared" si="26"/>
        <v>0.11458333333575865</v>
      </c>
      <c r="K1679" t="s">
        <v>204</v>
      </c>
      <c r="M1679">
        <v>0</v>
      </c>
      <c r="N1679" s="6">
        <v>0</v>
      </c>
      <c r="Q1679" s="2" t="s">
        <v>19</v>
      </c>
    </row>
    <row r="1680" spans="1:17" ht="68" x14ac:dyDescent="0.2">
      <c r="A1680" t="s">
        <v>189</v>
      </c>
      <c r="B1680" t="s">
        <v>140</v>
      </c>
      <c r="C1680" t="s">
        <v>16</v>
      </c>
      <c r="D1680" s="3">
        <v>44316</v>
      </c>
      <c r="E1680" s="1">
        <v>44316.503206018519</v>
      </c>
      <c r="F1680" t="s">
        <v>17</v>
      </c>
      <c r="G1680" t="s">
        <v>61</v>
      </c>
      <c r="H1680" s="1">
        <v>44316.375</v>
      </c>
      <c r="I1680" s="1">
        <v>44316.489583333336</v>
      </c>
      <c r="J1680" s="4">
        <f t="shared" si="26"/>
        <v>0.11458333333575865</v>
      </c>
      <c r="K1680" t="s">
        <v>204</v>
      </c>
      <c r="M1680">
        <v>14</v>
      </c>
      <c r="N1680" s="6">
        <v>0</v>
      </c>
      <c r="Q1680" s="2" t="s">
        <v>19</v>
      </c>
    </row>
    <row r="1681" spans="1:17" ht="68" x14ac:dyDescent="0.2">
      <c r="A1681" t="s">
        <v>189</v>
      </c>
      <c r="B1681" t="s">
        <v>140</v>
      </c>
      <c r="C1681" t="s">
        <v>16</v>
      </c>
      <c r="D1681" s="3">
        <v>44316</v>
      </c>
      <c r="E1681" s="1">
        <v>44316.652488425927</v>
      </c>
      <c r="F1681" t="s">
        <v>17</v>
      </c>
      <c r="G1681" t="s">
        <v>62</v>
      </c>
      <c r="H1681" s="1">
        <v>44316.510416666664</v>
      </c>
      <c r="I1681" s="1">
        <v>44316.65625</v>
      </c>
      <c r="J1681" s="4">
        <f t="shared" si="26"/>
        <v>0.14583333333575865</v>
      </c>
      <c r="K1681" t="s">
        <v>195</v>
      </c>
      <c r="M1681">
        <v>75</v>
      </c>
      <c r="N1681" s="6">
        <v>0</v>
      </c>
      <c r="Q1681" s="2" t="s">
        <v>19</v>
      </c>
    </row>
    <row r="1682" spans="1:17" ht="68" x14ac:dyDescent="0.2">
      <c r="A1682" t="s">
        <v>189</v>
      </c>
      <c r="B1682" t="s">
        <v>140</v>
      </c>
      <c r="C1682" t="s">
        <v>16</v>
      </c>
      <c r="D1682" s="3">
        <v>44319</v>
      </c>
      <c r="E1682" s="1">
        <v>44319.48945601852</v>
      </c>
      <c r="F1682" t="s">
        <v>17</v>
      </c>
      <c r="G1682" t="s">
        <v>63</v>
      </c>
      <c r="H1682" s="1">
        <v>44319.385416666664</v>
      </c>
      <c r="I1682" s="1">
        <v>44319.489583333336</v>
      </c>
      <c r="J1682" s="4">
        <f t="shared" si="26"/>
        <v>0.10416666667151731</v>
      </c>
      <c r="K1682" t="s">
        <v>199</v>
      </c>
      <c r="M1682">
        <v>27</v>
      </c>
      <c r="N1682" s="6">
        <v>0</v>
      </c>
      <c r="Q1682" s="2" t="s">
        <v>19</v>
      </c>
    </row>
    <row r="1683" spans="1:17" ht="68" x14ac:dyDescent="0.2">
      <c r="A1683" t="s">
        <v>189</v>
      </c>
      <c r="B1683" t="s">
        <v>140</v>
      </c>
      <c r="C1683" t="s">
        <v>16</v>
      </c>
      <c r="D1683" s="3">
        <v>44319</v>
      </c>
      <c r="E1683" s="1">
        <v>44319.65965277778</v>
      </c>
      <c r="F1683" t="s">
        <v>17</v>
      </c>
      <c r="G1683" t="s">
        <v>45</v>
      </c>
      <c r="H1683" s="1">
        <v>44319.53125</v>
      </c>
      <c r="I1683" s="1">
        <v>44319.666666666664</v>
      </c>
      <c r="J1683" s="4">
        <f t="shared" si="26"/>
        <v>0.13541666666424135</v>
      </c>
      <c r="K1683" t="s">
        <v>195</v>
      </c>
      <c r="M1683">
        <v>60</v>
      </c>
      <c r="N1683" s="6">
        <v>0</v>
      </c>
      <c r="Q1683" s="2" t="s">
        <v>19</v>
      </c>
    </row>
    <row r="1684" spans="1:17" ht="68" x14ac:dyDescent="0.2">
      <c r="A1684" t="s">
        <v>189</v>
      </c>
      <c r="B1684" t="s">
        <v>140</v>
      </c>
      <c r="C1684" t="s">
        <v>16</v>
      </c>
      <c r="D1684" s="3">
        <v>44320</v>
      </c>
      <c r="E1684" s="1">
        <v>44320.487210648149</v>
      </c>
      <c r="F1684" t="s">
        <v>17</v>
      </c>
      <c r="G1684" t="s">
        <v>64</v>
      </c>
      <c r="H1684" s="1">
        <v>44320.380555555559</v>
      </c>
      <c r="I1684" s="1">
        <v>44320.492361111108</v>
      </c>
      <c r="J1684" s="4">
        <f t="shared" si="26"/>
        <v>0.11180555554892635</v>
      </c>
      <c r="K1684" t="s">
        <v>205</v>
      </c>
      <c r="M1684">
        <v>15</v>
      </c>
      <c r="N1684" s="6">
        <v>0</v>
      </c>
      <c r="Q1684" s="2" t="s">
        <v>19</v>
      </c>
    </row>
    <row r="1685" spans="1:17" ht="68" x14ac:dyDescent="0.2">
      <c r="A1685" t="s">
        <v>189</v>
      </c>
      <c r="B1685" t="s">
        <v>140</v>
      </c>
      <c r="C1685" t="s">
        <v>16</v>
      </c>
      <c r="D1685" s="3">
        <v>44320</v>
      </c>
      <c r="E1685" s="1">
        <v>44320.643472222226</v>
      </c>
      <c r="F1685" t="s">
        <v>17</v>
      </c>
      <c r="G1685" t="s">
        <v>65</v>
      </c>
      <c r="H1685" s="1">
        <v>44320.541666666664</v>
      </c>
      <c r="I1685" s="1">
        <v>44320.645833333336</v>
      </c>
      <c r="J1685" s="4">
        <f t="shared" si="26"/>
        <v>0.10416666667151731</v>
      </c>
      <c r="K1685" t="s">
        <v>192</v>
      </c>
      <c r="M1685">
        <v>32</v>
      </c>
      <c r="N1685" s="6">
        <v>0</v>
      </c>
      <c r="Q1685" s="2" t="s">
        <v>19</v>
      </c>
    </row>
    <row r="1686" spans="1:17" ht="68" x14ac:dyDescent="0.2">
      <c r="A1686" t="s">
        <v>189</v>
      </c>
      <c r="B1686" t="s">
        <v>140</v>
      </c>
      <c r="C1686" t="s">
        <v>16</v>
      </c>
      <c r="D1686" s="3">
        <v>44321</v>
      </c>
      <c r="E1686" s="1">
        <v>44321.403692129628</v>
      </c>
      <c r="F1686" t="s">
        <v>17</v>
      </c>
      <c r="G1686" t="s">
        <v>36</v>
      </c>
      <c r="H1686" s="1">
        <v>44321.395833333336</v>
      </c>
      <c r="I1686" s="1">
        <v>44321.489583333336</v>
      </c>
      <c r="J1686" s="4">
        <f t="shared" si="26"/>
        <v>9.375E-2</v>
      </c>
      <c r="K1686" t="s">
        <v>206</v>
      </c>
      <c r="M1686">
        <v>9</v>
      </c>
      <c r="N1686" s="6">
        <v>0</v>
      </c>
      <c r="Q1686" s="2" t="s">
        <v>19</v>
      </c>
    </row>
    <row r="1687" spans="1:17" ht="68" x14ac:dyDescent="0.2">
      <c r="A1687" t="s">
        <v>189</v>
      </c>
      <c r="B1687" t="s">
        <v>140</v>
      </c>
      <c r="C1687" t="s">
        <v>16</v>
      </c>
      <c r="D1687" s="3">
        <v>44321</v>
      </c>
      <c r="E1687" s="1">
        <v>44321.66337962963</v>
      </c>
      <c r="F1687" t="s">
        <v>17</v>
      </c>
      <c r="G1687" t="s">
        <v>66</v>
      </c>
      <c r="H1687" s="1">
        <v>44321.510416666664</v>
      </c>
      <c r="I1687" s="1">
        <v>44321.666666666664</v>
      </c>
      <c r="J1687" s="4">
        <f t="shared" si="26"/>
        <v>0.15625</v>
      </c>
      <c r="K1687" t="s">
        <v>195</v>
      </c>
      <c r="M1687">
        <v>47</v>
      </c>
      <c r="N1687" s="6">
        <v>0</v>
      </c>
      <c r="Q1687" s="2" t="s">
        <v>19</v>
      </c>
    </row>
    <row r="1688" spans="1:17" ht="68" x14ac:dyDescent="0.2">
      <c r="A1688" t="s">
        <v>189</v>
      </c>
      <c r="B1688" t="s">
        <v>140</v>
      </c>
      <c r="C1688" t="s">
        <v>16</v>
      </c>
      <c r="D1688" s="3">
        <v>44323</v>
      </c>
      <c r="E1688" s="1">
        <v>44323.379270833335</v>
      </c>
      <c r="F1688" t="s">
        <v>17</v>
      </c>
      <c r="G1688" t="s">
        <v>61</v>
      </c>
      <c r="H1688" s="1">
        <v>44323.375</v>
      </c>
      <c r="I1688" s="1">
        <v>44323.489583333336</v>
      </c>
      <c r="J1688" s="4">
        <f t="shared" si="26"/>
        <v>0.11458333333575865</v>
      </c>
      <c r="K1688" t="s">
        <v>206</v>
      </c>
      <c r="M1688">
        <v>17</v>
      </c>
      <c r="N1688" s="6">
        <v>0</v>
      </c>
      <c r="Q1688" s="2" t="s">
        <v>19</v>
      </c>
    </row>
    <row r="1689" spans="1:17" ht="68" x14ac:dyDescent="0.2">
      <c r="A1689" t="s">
        <v>189</v>
      </c>
      <c r="B1689" t="s">
        <v>140</v>
      </c>
      <c r="C1689" t="s">
        <v>16</v>
      </c>
      <c r="D1689" s="3">
        <v>44323</v>
      </c>
      <c r="E1689" s="1">
        <v>44323.533680555556</v>
      </c>
      <c r="F1689" t="s">
        <v>17</v>
      </c>
      <c r="G1689" t="s">
        <v>67</v>
      </c>
      <c r="H1689" s="1">
        <v>44323.510416666664</v>
      </c>
      <c r="I1689" s="1">
        <v>44323.666666666664</v>
      </c>
      <c r="J1689" s="4">
        <f t="shared" si="26"/>
        <v>0.15625</v>
      </c>
      <c r="K1689" t="s">
        <v>207</v>
      </c>
      <c r="M1689">
        <v>8</v>
      </c>
      <c r="N1689" s="6">
        <v>0</v>
      </c>
      <c r="Q1689" s="2" t="s">
        <v>19</v>
      </c>
    </row>
    <row r="1690" spans="1:17" ht="68" x14ac:dyDescent="0.2">
      <c r="A1690" t="s">
        <v>189</v>
      </c>
      <c r="B1690" t="s">
        <v>140</v>
      </c>
      <c r="C1690" t="s">
        <v>16</v>
      </c>
      <c r="D1690" s="3">
        <v>44326</v>
      </c>
      <c r="E1690" s="1">
        <v>44326.489664351851</v>
      </c>
      <c r="F1690" t="s">
        <v>17</v>
      </c>
      <c r="G1690" t="s">
        <v>63</v>
      </c>
      <c r="H1690" s="1">
        <v>44326.375</v>
      </c>
      <c r="I1690" s="1">
        <v>44326.489583333336</v>
      </c>
      <c r="J1690" s="4">
        <f t="shared" si="26"/>
        <v>0.11458333333575865</v>
      </c>
      <c r="K1690" t="s">
        <v>199</v>
      </c>
      <c r="M1690">
        <v>19</v>
      </c>
      <c r="N1690" s="6">
        <v>0</v>
      </c>
      <c r="Q1690" s="2" t="s">
        <v>19</v>
      </c>
    </row>
    <row r="1691" spans="1:17" ht="68" x14ac:dyDescent="0.2">
      <c r="A1691" t="s">
        <v>189</v>
      </c>
      <c r="B1691" t="s">
        <v>140</v>
      </c>
      <c r="C1691" t="s">
        <v>16</v>
      </c>
      <c r="D1691" s="3">
        <v>44326</v>
      </c>
      <c r="E1691" s="1">
        <v>44326.665451388886</v>
      </c>
      <c r="F1691" t="s">
        <v>17</v>
      </c>
      <c r="G1691" t="s">
        <v>59</v>
      </c>
      <c r="H1691" s="1">
        <v>44326.53125</v>
      </c>
      <c r="I1691" s="1">
        <v>44326.666666666664</v>
      </c>
      <c r="J1691" s="4">
        <f t="shared" si="26"/>
        <v>0.13541666666424135</v>
      </c>
      <c r="K1691" t="s">
        <v>195</v>
      </c>
      <c r="M1691">
        <v>22</v>
      </c>
      <c r="N1691" s="6">
        <v>0</v>
      </c>
      <c r="Q1691" s="2" t="s">
        <v>19</v>
      </c>
    </row>
    <row r="1692" spans="1:17" ht="68" x14ac:dyDescent="0.2">
      <c r="A1692" t="s">
        <v>189</v>
      </c>
      <c r="B1692" t="s">
        <v>140</v>
      </c>
      <c r="C1692" t="s">
        <v>16</v>
      </c>
      <c r="D1692" s="3">
        <v>44327</v>
      </c>
      <c r="E1692" s="1">
        <v>44327.494062500002</v>
      </c>
      <c r="F1692" t="s">
        <v>17</v>
      </c>
      <c r="G1692" t="s">
        <v>101</v>
      </c>
      <c r="H1692" s="1">
        <v>44327.489583333336</v>
      </c>
      <c r="I1692" s="1">
        <v>44327.5</v>
      </c>
      <c r="J1692" s="4">
        <f t="shared" si="26"/>
        <v>1.0416666664241347E-2</v>
      </c>
      <c r="K1692" t="s">
        <v>190</v>
      </c>
      <c r="M1692">
        <v>50</v>
      </c>
      <c r="N1692" s="6">
        <v>0</v>
      </c>
      <c r="Q1692" s="2" t="s">
        <v>19</v>
      </c>
    </row>
    <row r="1693" spans="1:17" ht="68" x14ac:dyDescent="0.2">
      <c r="A1693" t="s">
        <v>189</v>
      </c>
      <c r="B1693" t="s">
        <v>140</v>
      </c>
      <c r="C1693" t="s">
        <v>16</v>
      </c>
      <c r="D1693" s="3">
        <v>44327</v>
      </c>
      <c r="E1693" s="1">
        <v>44327.861064814817</v>
      </c>
      <c r="F1693" t="s">
        <v>17</v>
      </c>
      <c r="G1693" t="s">
        <v>68</v>
      </c>
      <c r="H1693" s="1">
        <v>44327.541666666664</v>
      </c>
      <c r="I1693" s="1">
        <v>44327.583333333336</v>
      </c>
      <c r="J1693" s="4">
        <f t="shared" si="26"/>
        <v>4.1666666671517305E-2</v>
      </c>
      <c r="K1693" t="s">
        <v>192</v>
      </c>
      <c r="M1693">
        <v>26</v>
      </c>
      <c r="N1693" s="6">
        <v>0</v>
      </c>
      <c r="Q1693" s="2" t="s">
        <v>19</v>
      </c>
    </row>
    <row r="1694" spans="1:17" ht="68" x14ac:dyDescent="0.2">
      <c r="A1694" t="s">
        <v>189</v>
      </c>
      <c r="B1694" t="s">
        <v>140</v>
      </c>
      <c r="C1694" t="s">
        <v>16</v>
      </c>
      <c r="D1694" s="3">
        <v>44328</v>
      </c>
      <c r="E1694" s="1">
        <v>44328.657002314816</v>
      </c>
      <c r="F1694" t="s">
        <v>17</v>
      </c>
      <c r="G1694" t="s">
        <v>45</v>
      </c>
      <c r="H1694" s="1">
        <v>44328.53125</v>
      </c>
      <c r="I1694" s="1">
        <v>44328.666666666664</v>
      </c>
      <c r="J1694" s="4">
        <f t="shared" si="26"/>
        <v>0.13541666666424135</v>
      </c>
      <c r="K1694" t="s">
        <v>195</v>
      </c>
      <c r="M1694">
        <v>54</v>
      </c>
      <c r="N1694" s="6">
        <v>0</v>
      </c>
      <c r="Q1694" s="2" t="s">
        <v>19</v>
      </c>
    </row>
    <row r="1695" spans="1:17" ht="68" x14ac:dyDescent="0.2">
      <c r="A1695" t="s">
        <v>189</v>
      </c>
      <c r="B1695" t="s">
        <v>140</v>
      </c>
      <c r="C1695" t="s">
        <v>16</v>
      </c>
      <c r="D1695" s="3">
        <v>44334</v>
      </c>
      <c r="E1695" s="1">
        <v>44334.486793981479</v>
      </c>
      <c r="F1695" t="s">
        <v>17</v>
      </c>
      <c r="G1695" t="s">
        <v>55</v>
      </c>
      <c r="H1695" s="1">
        <v>44334.375</v>
      </c>
      <c r="I1695" s="1">
        <v>44334.489583333336</v>
      </c>
      <c r="J1695" s="4">
        <f t="shared" si="26"/>
        <v>0.11458333333575865</v>
      </c>
      <c r="K1695" t="s">
        <v>200</v>
      </c>
      <c r="M1695">
        <v>15</v>
      </c>
      <c r="N1695" s="6">
        <v>0</v>
      </c>
      <c r="Q1695" s="2" t="s">
        <v>19</v>
      </c>
    </row>
    <row r="1696" spans="1:17" ht="68" x14ac:dyDescent="0.2">
      <c r="A1696" t="s">
        <v>189</v>
      </c>
      <c r="B1696" t="s">
        <v>140</v>
      </c>
      <c r="C1696" t="s">
        <v>16</v>
      </c>
      <c r="D1696" s="3">
        <v>44334</v>
      </c>
      <c r="E1696" s="1">
        <v>44334.668391203704</v>
      </c>
      <c r="F1696" t="s">
        <v>17</v>
      </c>
      <c r="G1696" t="s">
        <v>69</v>
      </c>
      <c r="H1696" s="1">
        <v>44334.541666666664</v>
      </c>
      <c r="I1696" s="1">
        <v>44334.666666666664</v>
      </c>
      <c r="J1696" s="4">
        <f t="shared" si="26"/>
        <v>0.125</v>
      </c>
      <c r="K1696" t="s">
        <v>192</v>
      </c>
      <c r="M1696">
        <v>35</v>
      </c>
      <c r="N1696" s="6">
        <v>0</v>
      </c>
      <c r="Q1696" s="2" t="s">
        <v>19</v>
      </c>
    </row>
    <row r="1697" spans="1:17" ht="68" x14ac:dyDescent="0.2">
      <c r="A1697" t="s">
        <v>189</v>
      </c>
      <c r="B1697" t="s">
        <v>140</v>
      </c>
      <c r="C1697" t="s">
        <v>16</v>
      </c>
      <c r="D1697" s="3">
        <v>44335</v>
      </c>
      <c r="E1697" s="1">
        <v>44335.66133101852</v>
      </c>
      <c r="F1697" t="s">
        <v>17</v>
      </c>
      <c r="G1697" t="s">
        <v>70</v>
      </c>
      <c r="H1697" s="1">
        <v>44335.53125</v>
      </c>
      <c r="I1697" s="1">
        <v>44335.65625</v>
      </c>
      <c r="J1697" s="4">
        <f t="shared" si="26"/>
        <v>0.125</v>
      </c>
      <c r="K1697" t="s">
        <v>200</v>
      </c>
      <c r="M1697">
        <v>13</v>
      </c>
      <c r="N1697" s="6">
        <v>0</v>
      </c>
      <c r="Q1697" s="2" t="s">
        <v>19</v>
      </c>
    </row>
    <row r="1698" spans="1:17" ht="68" x14ac:dyDescent="0.2">
      <c r="A1698" t="s">
        <v>189</v>
      </c>
      <c r="B1698" t="s">
        <v>140</v>
      </c>
      <c r="C1698" t="s">
        <v>16</v>
      </c>
      <c r="D1698" s="3">
        <v>44336</v>
      </c>
      <c r="E1698" s="1">
        <v>44336.488923611112</v>
      </c>
      <c r="F1698" t="s">
        <v>17</v>
      </c>
      <c r="G1698" t="s">
        <v>52</v>
      </c>
      <c r="H1698" s="1">
        <v>44336.375</v>
      </c>
      <c r="I1698" s="1">
        <v>44336.489583333336</v>
      </c>
      <c r="J1698" s="4">
        <f t="shared" si="26"/>
        <v>0.11458333333575865</v>
      </c>
      <c r="K1698" t="s">
        <v>200</v>
      </c>
      <c r="M1698">
        <v>18</v>
      </c>
      <c r="N1698" s="6">
        <v>0</v>
      </c>
      <c r="Q1698" s="2" t="s">
        <v>19</v>
      </c>
    </row>
    <row r="1699" spans="1:17" ht="68" x14ac:dyDescent="0.2">
      <c r="A1699" t="s">
        <v>189</v>
      </c>
      <c r="B1699" t="s">
        <v>140</v>
      </c>
      <c r="C1699" t="s">
        <v>16</v>
      </c>
      <c r="D1699" s="3">
        <v>44336</v>
      </c>
      <c r="E1699" s="1">
        <v>44336.65662037037</v>
      </c>
      <c r="F1699" t="s">
        <v>17</v>
      </c>
      <c r="G1699" t="s">
        <v>59</v>
      </c>
      <c r="H1699" s="1">
        <v>44336.53125</v>
      </c>
      <c r="I1699" s="1">
        <v>44336.65625</v>
      </c>
      <c r="J1699" s="4">
        <f t="shared" si="26"/>
        <v>0.125</v>
      </c>
      <c r="K1699" t="s">
        <v>192</v>
      </c>
      <c r="M1699">
        <v>24</v>
      </c>
      <c r="N1699" s="6">
        <v>0</v>
      </c>
      <c r="Q1699" s="2" t="s">
        <v>19</v>
      </c>
    </row>
    <row r="1700" spans="1:17" ht="68" x14ac:dyDescent="0.2">
      <c r="A1700" t="s">
        <v>189</v>
      </c>
      <c r="B1700" t="s">
        <v>140</v>
      </c>
      <c r="C1700" t="s">
        <v>16</v>
      </c>
      <c r="D1700" s="3">
        <v>44337</v>
      </c>
      <c r="E1700" s="1">
        <v>44337.485694444447</v>
      </c>
      <c r="F1700" t="s">
        <v>17</v>
      </c>
      <c r="G1700" t="s">
        <v>44</v>
      </c>
      <c r="H1700" s="1">
        <v>44337.375</v>
      </c>
      <c r="I1700" s="1">
        <v>44337.489583333336</v>
      </c>
      <c r="J1700" s="4">
        <f t="shared" si="26"/>
        <v>0.11458333333575865</v>
      </c>
      <c r="K1700" t="s">
        <v>199</v>
      </c>
      <c r="M1700">
        <v>35</v>
      </c>
      <c r="N1700" s="6">
        <v>0</v>
      </c>
      <c r="Q1700" s="2" t="s">
        <v>19</v>
      </c>
    </row>
    <row r="1701" spans="1:17" ht="68" x14ac:dyDescent="0.2">
      <c r="A1701" t="s">
        <v>189</v>
      </c>
      <c r="B1701" t="s">
        <v>140</v>
      </c>
      <c r="C1701" t="s">
        <v>16</v>
      </c>
      <c r="D1701" s="3">
        <v>44337</v>
      </c>
      <c r="E1701" s="1">
        <v>44337.489710648151</v>
      </c>
      <c r="F1701" t="s">
        <v>17</v>
      </c>
      <c r="G1701" t="s">
        <v>44</v>
      </c>
      <c r="H1701" s="1">
        <v>44337.375</v>
      </c>
      <c r="I1701" s="1">
        <v>44337.489583333336</v>
      </c>
      <c r="J1701" s="4">
        <f t="shared" si="26"/>
        <v>0.11458333333575865</v>
      </c>
      <c r="K1701" t="s">
        <v>199</v>
      </c>
      <c r="M1701">
        <v>3</v>
      </c>
      <c r="N1701" s="6">
        <v>0</v>
      </c>
      <c r="Q1701" s="2" t="s">
        <v>19</v>
      </c>
    </row>
    <row r="1702" spans="1:17" ht="68" x14ac:dyDescent="0.2">
      <c r="A1702" t="s">
        <v>189</v>
      </c>
      <c r="B1702" t="s">
        <v>140</v>
      </c>
      <c r="C1702" t="s">
        <v>16</v>
      </c>
      <c r="D1702" s="3">
        <v>44338</v>
      </c>
      <c r="E1702" s="1">
        <v>44338.494050925925</v>
      </c>
      <c r="F1702" t="s">
        <v>17</v>
      </c>
      <c r="G1702" t="s">
        <v>47</v>
      </c>
      <c r="H1702" s="1">
        <v>44338.375</v>
      </c>
      <c r="I1702" s="1">
        <v>44338.489583333336</v>
      </c>
      <c r="J1702" s="4">
        <f t="shared" si="26"/>
        <v>0.11458333333575865</v>
      </c>
      <c r="K1702" t="s">
        <v>209</v>
      </c>
      <c r="M1702">
        <v>20</v>
      </c>
      <c r="N1702" s="6">
        <v>0</v>
      </c>
      <c r="Q1702" s="2" t="s">
        <v>19</v>
      </c>
    </row>
    <row r="1703" spans="1:17" ht="68" x14ac:dyDescent="0.2">
      <c r="A1703" t="s">
        <v>189</v>
      </c>
      <c r="B1703" t="s">
        <v>140</v>
      </c>
      <c r="C1703" t="s">
        <v>16</v>
      </c>
      <c r="D1703" s="3">
        <v>44338</v>
      </c>
      <c r="E1703" s="1">
        <v>44338.631828703707</v>
      </c>
      <c r="F1703" t="s">
        <v>17</v>
      </c>
      <c r="G1703" t="s">
        <v>42</v>
      </c>
      <c r="H1703" s="1">
        <v>44338.53125</v>
      </c>
      <c r="I1703" s="1">
        <v>44338.645833333336</v>
      </c>
      <c r="J1703" s="4">
        <f t="shared" si="26"/>
        <v>0.11458333333575865</v>
      </c>
      <c r="K1703" t="s">
        <v>210</v>
      </c>
      <c r="M1703">
        <v>7</v>
      </c>
      <c r="N1703" s="6">
        <v>0</v>
      </c>
      <c r="Q1703" s="2" t="s">
        <v>19</v>
      </c>
    </row>
    <row r="1704" spans="1:17" ht="68" x14ac:dyDescent="0.2">
      <c r="A1704" t="s">
        <v>189</v>
      </c>
      <c r="B1704" t="s">
        <v>140</v>
      </c>
      <c r="C1704" t="s">
        <v>16</v>
      </c>
      <c r="D1704" s="3">
        <v>44340</v>
      </c>
      <c r="E1704" s="1">
        <v>44340.499398148146</v>
      </c>
      <c r="F1704" t="s">
        <v>17</v>
      </c>
      <c r="G1704" t="s">
        <v>71</v>
      </c>
      <c r="H1704" s="1">
        <v>44340.375</v>
      </c>
      <c r="I1704" s="1">
        <v>44340.489583333336</v>
      </c>
      <c r="J1704" s="4">
        <f t="shared" si="26"/>
        <v>0.11458333333575865</v>
      </c>
      <c r="K1704" t="s">
        <v>211</v>
      </c>
      <c r="M1704">
        <v>2</v>
      </c>
      <c r="N1704" s="6">
        <v>0</v>
      </c>
      <c r="Q1704" s="2" t="s">
        <v>19</v>
      </c>
    </row>
    <row r="1705" spans="1:17" ht="68" x14ac:dyDescent="0.2">
      <c r="A1705" t="s">
        <v>189</v>
      </c>
      <c r="B1705" t="s">
        <v>140</v>
      </c>
      <c r="C1705" t="s">
        <v>16</v>
      </c>
      <c r="D1705" s="3">
        <v>44340</v>
      </c>
      <c r="E1705" s="1">
        <v>44340.510949074072</v>
      </c>
      <c r="F1705" t="s">
        <v>17</v>
      </c>
      <c r="G1705" t="s">
        <v>71</v>
      </c>
      <c r="H1705" s="1">
        <v>44340.375</v>
      </c>
      <c r="I1705" s="1">
        <v>44340.489583333336</v>
      </c>
      <c r="J1705" s="4">
        <f t="shared" si="26"/>
        <v>0.11458333333575865</v>
      </c>
      <c r="K1705" t="s">
        <v>211</v>
      </c>
      <c r="M1705">
        <v>0</v>
      </c>
      <c r="N1705" s="5" t="s">
        <v>144</v>
      </c>
      <c r="Q1705" s="2" t="s">
        <v>19</v>
      </c>
    </row>
    <row r="1706" spans="1:17" ht="68" x14ac:dyDescent="0.2">
      <c r="A1706" t="s">
        <v>189</v>
      </c>
      <c r="B1706" t="s">
        <v>140</v>
      </c>
      <c r="C1706" t="s">
        <v>16</v>
      </c>
      <c r="D1706" s="3">
        <v>44340</v>
      </c>
      <c r="E1706" s="1">
        <v>44340.660636574074</v>
      </c>
      <c r="F1706" t="s">
        <v>17</v>
      </c>
      <c r="G1706" t="s">
        <v>56</v>
      </c>
      <c r="H1706" s="1">
        <v>44340.53125</v>
      </c>
      <c r="I1706" s="1">
        <v>44340.666666666664</v>
      </c>
      <c r="J1706" s="4">
        <f t="shared" si="26"/>
        <v>0.13541666666424135</v>
      </c>
      <c r="K1706" t="s">
        <v>200</v>
      </c>
      <c r="M1706">
        <v>12</v>
      </c>
      <c r="N1706" s="6">
        <v>0</v>
      </c>
      <c r="Q1706" s="2" t="s">
        <v>19</v>
      </c>
    </row>
    <row r="1707" spans="1:17" ht="68" x14ac:dyDescent="0.2">
      <c r="A1707" t="s">
        <v>189</v>
      </c>
      <c r="B1707" t="s">
        <v>140</v>
      </c>
      <c r="C1707" t="s">
        <v>16</v>
      </c>
      <c r="D1707" s="3">
        <v>44341</v>
      </c>
      <c r="E1707" s="1">
        <v>44341.488113425927</v>
      </c>
      <c r="F1707" t="s">
        <v>17</v>
      </c>
      <c r="G1707" t="s">
        <v>55</v>
      </c>
      <c r="H1707" s="1">
        <v>44341.383333333331</v>
      </c>
      <c r="I1707" s="1">
        <v>44341.404166666667</v>
      </c>
      <c r="J1707" s="4">
        <f t="shared" si="26"/>
        <v>2.0833333335758653E-2</v>
      </c>
      <c r="K1707" t="s">
        <v>200</v>
      </c>
      <c r="M1707">
        <v>3</v>
      </c>
      <c r="N1707" s="5" t="s">
        <v>144</v>
      </c>
      <c r="Q1707" s="2" t="s">
        <v>19</v>
      </c>
    </row>
    <row r="1708" spans="1:17" ht="68" x14ac:dyDescent="0.2">
      <c r="A1708" t="s">
        <v>189</v>
      </c>
      <c r="B1708" t="s">
        <v>140</v>
      </c>
      <c r="C1708" t="s">
        <v>16</v>
      </c>
      <c r="D1708" s="3">
        <v>44341</v>
      </c>
      <c r="E1708" s="1">
        <v>44341.489756944444</v>
      </c>
      <c r="F1708" t="s">
        <v>17</v>
      </c>
      <c r="G1708" t="s">
        <v>55</v>
      </c>
      <c r="H1708" s="1">
        <v>44341.383333333331</v>
      </c>
      <c r="I1708" s="1">
        <v>44341.404166666667</v>
      </c>
      <c r="J1708" s="4">
        <f t="shared" si="26"/>
        <v>2.0833333335758653E-2</v>
      </c>
      <c r="K1708" t="s">
        <v>200</v>
      </c>
      <c r="M1708">
        <v>0</v>
      </c>
      <c r="N1708" s="5" t="s">
        <v>144</v>
      </c>
      <c r="Q1708" s="2" t="s">
        <v>19</v>
      </c>
    </row>
    <row r="1709" spans="1:17" ht="68" x14ac:dyDescent="0.2">
      <c r="A1709" t="s">
        <v>189</v>
      </c>
      <c r="B1709" t="s">
        <v>140</v>
      </c>
      <c r="C1709" t="s">
        <v>16</v>
      </c>
      <c r="D1709" s="3">
        <v>44341</v>
      </c>
      <c r="E1709" s="1">
        <v>44341.657500000001</v>
      </c>
      <c r="F1709" t="s">
        <v>17</v>
      </c>
      <c r="G1709" t="s">
        <v>68</v>
      </c>
      <c r="H1709" s="1">
        <v>44341.541666666664</v>
      </c>
      <c r="I1709" s="1">
        <v>44341.666666666664</v>
      </c>
      <c r="J1709" s="4">
        <f t="shared" si="26"/>
        <v>0.125</v>
      </c>
      <c r="K1709" t="s">
        <v>192</v>
      </c>
      <c r="M1709">
        <v>25</v>
      </c>
      <c r="N1709" s="6">
        <v>0</v>
      </c>
      <c r="Q1709" s="2" t="s">
        <v>19</v>
      </c>
    </row>
    <row r="1710" spans="1:17" ht="68" x14ac:dyDescent="0.2">
      <c r="A1710" t="s">
        <v>189</v>
      </c>
      <c r="B1710" t="s">
        <v>140</v>
      </c>
      <c r="C1710" t="s">
        <v>16</v>
      </c>
      <c r="D1710" s="3">
        <v>44342</v>
      </c>
      <c r="E1710" s="1">
        <v>44342.494004629632</v>
      </c>
      <c r="F1710" t="s">
        <v>17</v>
      </c>
      <c r="G1710" t="s">
        <v>72</v>
      </c>
      <c r="H1710" s="1">
        <v>44342.375</v>
      </c>
      <c r="I1710" s="1">
        <v>44342.5</v>
      </c>
      <c r="J1710" s="4">
        <f t="shared" si="26"/>
        <v>0.125</v>
      </c>
      <c r="K1710" t="s">
        <v>212</v>
      </c>
      <c r="M1710">
        <v>10</v>
      </c>
      <c r="N1710" s="6">
        <v>0</v>
      </c>
      <c r="Q1710" s="2" t="s">
        <v>19</v>
      </c>
    </row>
    <row r="1711" spans="1:17" ht="68" x14ac:dyDescent="0.2">
      <c r="A1711" t="s">
        <v>189</v>
      </c>
      <c r="B1711" t="s">
        <v>140</v>
      </c>
      <c r="C1711" t="s">
        <v>16</v>
      </c>
      <c r="D1711" s="3">
        <v>44342</v>
      </c>
      <c r="E1711" s="1">
        <v>44342.660960648151</v>
      </c>
      <c r="F1711" t="s">
        <v>17</v>
      </c>
      <c r="G1711" t="s">
        <v>35</v>
      </c>
      <c r="H1711" s="1">
        <v>44342.53125</v>
      </c>
      <c r="I1711" s="1">
        <v>44342.666666666664</v>
      </c>
      <c r="J1711" s="4">
        <f t="shared" si="26"/>
        <v>0.13541666666424135</v>
      </c>
      <c r="K1711" t="s">
        <v>200</v>
      </c>
      <c r="M1711">
        <v>32</v>
      </c>
      <c r="N1711" s="6">
        <v>0</v>
      </c>
      <c r="Q1711" s="2" t="s">
        <v>19</v>
      </c>
    </row>
    <row r="1712" spans="1:17" ht="68" x14ac:dyDescent="0.2">
      <c r="A1712" t="s">
        <v>189</v>
      </c>
      <c r="B1712" t="s">
        <v>140</v>
      </c>
      <c r="C1712" t="s">
        <v>16</v>
      </c>
      <c r="D1712" s="3">
        <v>44343</v>
      </c>
      <c r="E1712" s="1">
        <v>44343.487013888887</v>
      </c>
      <c r="F1712" t="s">
        <v>17</v>
      </c>
      <c r="G1712" t="s">
        <v>73</v>
      </c>
      <c r="H1712" s="1">
        <v>44343.375</v>
      </c>
      <c r="I1712" s="1">
        <v>44343.489583333336</v>
      </c>
      <c r="J1712" s="4">
        <f t="shared" si="26"/>
        <v>0.11458333333575865</v>
      </c>
      <c r="K1712" t="s">
        <v>196</v>
      </c>
      <c r="M1712">
        <v>7</v>
      </c>
      <c r="N1712" s="6">
        <v>0</v>
      </c>
      <c r="Q1712" s="2" t="s">
        <v>19</v>
      </c>
    </row>
    <row r="1713" spans="1:17" ht="68" x14ac:dyDescent="0.2">
      <c r="A1713" t="s">
        <v>189</v>
      </c>
      <c r="B1713" t="s">
        <v>140</v>
      </c>
      <c r="C1713" t="s">
        <v>16</v>
      </c>
      <c r="D1713" s="3">
        <v>44344</v>
      </c>
      <c r="E1713" s="1">
        <v>44344.488437499997</v>
      </c>
      <c r="F1713" t="s">
        <v>17</v>
      </c>
      <c r="G1713" t="s">
        <v>53</v>
      </c>
      <c r="H1713" s="1">
        <v>44344.375</v>
      </c>
      <c r="I1713" s="1">
        <v>44344.489583333336</v>
      </c>
      <c r="J1713" s="4">
        <f t="shared" si="26"/>
        <v>0.11458333333575865</v>
      </c>
      <c r="K1713" t="s">
        <v>199</v>
      </c>
      <c r="M1713">
        <v>12</v>
      </c>
      <c r="N1713" s="6">
        <v>0</v>
      </c>
      <c r="Q1713" s="2" t="s">
        <v>19</v>
      </c>
    </row>
    <row r="1714" spans="1:17" ht="68" x14ac:dyDescent="0.2">
      <c r="A1714" t="s">
        <v>189</v>
      </c>
      <c r="B1714" t="s">
        <v>140</v>
      </c>
      <c r="C1714" t="s">
        <v>16</v>
      </c>
      <c r="D1714" s="3">
        <v>44344</v>
      </c>
      <c r="E1714" s="1">
        <v>44344.584803240738</v>
      </c>
      <c r="F1714" t="s">
        <v>17</v>
      </c>
      <c r="G1714" t="s">
        <v>106</v>
      </c>
      <c r="H1714" s="1">
        <v>44344.552083333336</v>
      </c>
      <c r="I1714" s="1">
        <v>44344.666666666664</v>
      </c>
      <c r="J1714" s="4">
        <f t="shared" si="26"/>
        <v>0.11458333332848269</v>
      </c>
      <c r="K1714" t="s">
        <v>221</v>
      </c>
      <c r="M1714">
        <v>1</v>
      </c>
      <c r="N1714" s="6">
        <v>0</v>
      </c>
      <c r="Q1714" s="2" t="s">
        <v>19</v>
      </c>
    </row>
    <row r="1715" spans="1:17" ht="68" x14ac:dyDescent="0.2">
      <c r="A1715" t="s">
        <v>189</v>
      </c>
      <c r="B1715" t="s">
        <v>140</v>
      </c>
      <c r="C1715" t="s">
        <v>16</v>
      </c>
      <c r="D1715" s="3">
        <v>44344</v>
      </c>
      <c r="E1715" s="1">
        <v>44344.66</v>
      </c>
      <c r="F1715" t="s">
        <v>17</v>
      </c>
      <c r="G1715" t="s">
        <v>106</v>
      </c>
      <c r="H1715" s="1">
        <v>44344.552083333336</v>
      </c>
      <c r="I1715" s="1">
        <v>44344.666666666664</v>
      </c>
      <c r="J1715" s="4">
        <f t="shared" si="26"/>
        <v>0.11458333332848269</v>
      </c>
      <c r="K1715" t="s">
        <v>221</v>
      </c>
      <c r="M1715">
        <v>0</v>
      </c>
      <c r="N1715" s="6">
        <v>0</v>
      </c>
      <c r="Q1715" s="2" t="s">
        <v>19</v>
      </c>
    </row>
    <row r="1716" spans="1:17" ht="68" x14ac:dyDescent="0.2">
      <c r="A1716" t="s">
        <v>189</v>
      </c>
      <c r="B1716" t="s">
        <v>140</v>
      </c>
      <c r="C1716" t="s">
        <v>16</v>
      </c>
      <c r="D1716" s="3">
        <v>44348</v>
      </c>
      <c r="E1716" s="1">
        <v>44348.490960648145</v>
      </c>
      <c r="F1716" t="s">
        <v>17</v>
      </c>
      <c r="G1716" t="s">
        <v>53</v>
      </c>
      <c r="H1716" s="1">
        <v>44348.378472222219</v>
      </c>
      <c r="I1716" s="1">
        <v>44348.490972222222</v>
      </c>
      <c r="J1716" s="4">
        <f t="shared" si="26"/>
        <v>0.11250000000291038</v>
      </c>
      <c r="K1716" t="s">
        <v>213</v>
      </c>
      <c r="M1716">
        <v>0</v>
      </c>
      <c r="N1716" s="5" t="s">
        <v>144</v>
      </c>
      <c r="Q1716" s="2" t="s">
        <v>19</v>
      </c>
    </row>
    <row r="1717" spans="1:17" ht="68" x14ac:dyDescent="0.2">
      <c r="A1717" t="s">
        <v>189</v>
      </c>
      <c r="B1717" t="s">
        <v>140</v>
      </c>
      <c r="C1717" t="s">
        <v>16</v>
      </c>
      <c r="D1717" s="3">
        <v>44348</v>
      </c>
      <c r="E1717" s="1">
        <v>44348.544386574074</v>
      </c>
      <c r="F1717" t="s">
        <v>17</v>
      </c>
      <c r="G1717" t="s">
        <v>74</v>
      </c>
      <c r="H1717" s="1">
        <v>44348.541666666664</v>
      </c>
      <c r="I1717" s="1">
        <v>44348.645833333336</v>
      </c>
      <c r="J1717" s="4">
        <f t="shared" si="26"/>
        <v>0.10416666667151731</v>
      </c>
      <c r="K1717" t="s">
        <v>192</v>
      </c>
      <c r="M1717">
        <v>12</v>
      </c>
      <c r="N1717" s="6">
        <v>0</v>
      </c>
      <c r="Q1717" s="2" t="s">
        <v>19</v>
      </c>
    </row>
    <row r="1718" spans="1:17" ht="68" x14ac:dyDescent="0.2">
      <c r="A1718" t="s">
        <v>189</v>
      </c>
      <c r="B1718" t="s">
        <v>140</v>
      </c>
      <c r="C1718" t="s">
        <v>16</v>
      </c>
      <c r="D1718" s="3">
        <v>44348</v>
      </c>
      <c r="E1718" s="1">
        <v>44348.667627314811</v>
      </c>
      <c r="F1718" t="s">
        <v>17</v>
      </c>
      <c r="G1718" t="s">
        <v>75</v>
      </c>
      <c r="H1718" s="1">
        <v>44348.645833333336</v>
      </c>
      <c r="I1718" s="1">
        <v>44348.666666666664</v>
      </c>
      <c r="J1718" s="4">
        <f t="shared" si="26"/>
        <v>2.0833333328482695E-2</v>
      </c>
      <c r="K1718" t="s">
        <v>214</v>
      </c>
      <c r="M1718">
        <v>3</v>
      </c>
      <c r="N1718" s="6">
        <v>0</v>
      </c>
      <c r="Q1718" s="2" t="s">
        <v>19</v>
      </c>
    </row>
    <row r="1719" spans="1:17" ht="68" x14ac:dyDescent="0.2">
      <c r="A1719" t="s">
        <v>189</v>
      </c>
      <c r="B1719" t="s">
        <v>140</v>
      </c>
      <c r="C1719" t="s">
        <v>16</v>
      </c>
      <c r="D1719" s="3">
        <v>44349</v>
      </c>
      <c r="E1719" s="1">
        <v>44349.485081018516</v>
      </c>
      <c r="F1719" t="s">
        <v>17</v>
      </c>
      <c r="G1719" t="s">
        <v>76</v>
      </c>
      <c r="H1719" s="1">
        <v>44349.376388888886</v>
      </c>
      <c r="I1719" s="1">
        <v>44349.489583333336</v>
      </c>
      <c r="J1719" s="4">
        <f t="shared" si="26"/>
        <v>0.11319444444961846</v>
      </c>
      <c r="K1719" t="s">
        <v>197</v>
      </c>
      <c r="M1719">
        <v>0</v>
      </c>
      <c r="N1719" s="6">
        <v>0</v>
      </c>
      <c r="Q1719" s="2" t="s">
        <v>19</v>
      </c>
    </row>
    <row r="1720" spans="1:17" ht="68" x14ac:dyDescent="0.2">
      <c r="A1720" t="s">
        <v>189</v>
      </c>
      <c r="B1720" t="s">
        <v>140</v>
      </c>
      <c r="C1720" t="s">
        <v>16</v>
      </c>
      <c r="D1720" s="3">
        <v>44349</v>
      </c>
      <c r="E1720" s="1">
        <v>44349.668900462966</v>
      </c>
      <c r="F1720" t="s">
        <v>17</v>
      </c>
      <c r="G1720" t="s">
        <v>37</v>
      </c>
      <c r="H1720" s="1">
        <v>44349.53125</v>
      </c>
      <c r="I1720" s="1">
        <v>44349.645833333336</v>
      </c>
      <c r="J1720" s="4">
        <f t="shared" si="26"/>
        <v>0.11458333333575865</v>
      </c>
      <c r="K1720" t="s">
        <v>192</v>
      </c>
      <c r="M1720">
        <v>0</v>
      </c>
      <c r="N1720" s="6">
        <v>0</v>
      </c>
      <c r="Q1720" s="2" t="s">
        <v>19</v>
      </c>
    </row>
    <row r="1721" spans="1:17" ht="68" x14ac:dyDescent="0.2">
      <c r="A1721" t="s">
        <v>189</v>
      </c>
      <c r="B1721" t="s">
        <v>140</v>
      </c>
      <c r="C1721" t="s">
        <v>16</v>
      </c>
      <c r="D1721" s="3">
        <v>44350</v>
      </c>
      <c r="E1721" s="1">
        <v>44350.470219907409</v>
      </c>
      <c r="F1721" t="s">
        <v>17</v>
      </c>
      <c r="G1721" t="s">
        <v>77</v>
      </c>
      <c r="H1721" s="1">
        <v>44350.333333333336</v>
      </c>
      <c r="I1721" s="1">
        <v>44350.479166666664</v>
      </c>
      <c r="J1721" s="4">
        <f t="shared" si="26"/>
        <v>0.14583333332848269</v>
      </c>
      <c r="K1721" t="s">
        <v>191</v>
      </c>
      <c r="M1721">
        <v>4</v>
      </c>
      <c r="N1721" s="6">
        <v>0</v>
      </c>
      <c r="Q1721" s="2" t="s">
        <v>19</v>
      </c>
    </row>
    <row r="1722" spans="1:17" ht="68" x14ac:dyDescent="0.2">
      <c r="A1722" t="s">
        <v>189</v>
      </c>
      <c r="B1722" t="s">
        <v>140</v>
      </c>
      <c r="C1722" t="s">
        <v>16</v>
      </c>
      <c r="D1722" s="3">
        <v>44351</v>
      </c>
      <c r="E1722" s="1">
        <v>44351.489062499997</v>
      </c>
      <c r="F1722" t="s">
        <v>17</v>
      </c>
      <c r="G1722" t="s">
        <v>63</v>
      </c>
      <c r="H1722" s="1">
        <v>44351.375</v>
      </c>
      <c r="I1722" s="1">
        <v>44351.489583333336</v>
      </c>
      <c r="J1722" s="4">
        <f t="shared" si="26"/>
        <v>0.11458333333575865</v>
      </c>
      <c r="K1722" t="s">
        <v>199</v>
      </c>
      <c r="M1722">
        <v>10</v>
      </c>
      <c r="N1722" s="6">
        <v>0</v>
      </c>
      <c r="Q1722" s="2" t="s">
        <v>19</v>
      </c>
    </row>
    <row r="1723" spans="1:17" ht="68" x14ac:dyDescent="0.2">
      <c r="A1723" t="s">
        <v>189</v>
      </c>
      <c r="B1723" t="s">
        <v>140</v>
      </c>
      <c r="C1723" t="s">
        <v>16</v>
      </c>
      <c r="D1723" s="3">
        <v>44351</v>
      </c>
      <c r="E1723" s="1">
        <v>44351.658518518518</v>
      </c>
      <c r="F1723" t="s">
        <v>17</v>
      </c>
      <c r="G1723" t="s">
        <v>45</v>
      </c>
      <c r="H1723" s="1">
        <v>44351.53125</v>
      </c>
      <c r="I1723" s="1">
        <v>44351.666666666664</v>
      </c>
      <c r="J1723" s="4">
        <f t="shared" si="26"/>
        <v>0.13541666666424135</v>
      </c>
      <c r="K1723" t="s">
        <v>195</v>
      </c>
      <c r="M1723">
        <v>35</v>
      </c>
      <c r="N1723" s="6">
        <v>0</v>
      </c>
      <c r="Q1723" s="2" t="s">
        <v>19</v>
      </c>
    </row>
    <row r="1724" spans="1:17" ht="68" x14ac:dyDescent="0.2">
      <c r="A1724" t="s">
        <v>189</v>
      </c>
      <c r="B1724" t="s">
        <v>140</v>
      </c>
      <c r="C1724" t="s">
        <v>16</v>
      </c>
      <c r="D1724" s="3">
        <v>44354</v>
      </c>
      <c r="E1724" s="1">
        <v>44354.491284722222</v>
      </c>
      <c r="F1724" t="s">
        <v>17</v>
      </c>
      <c r="G1724" t="s">
        <v>78</v>
      </c>
      <c r="H1724" s="1">
        <v>44354.375</v>
      </c>
      <c r="I1724" s="1">
        <v>44354.489583333336</v>
      </c>
      <c r="J1724" s="4">
        <f t="shared" si="26"/>
        <v>0.11458333333575865</v>
      </c>
      <c r="K1724" t="s">
        <v>215</v>
      </c>
      <c r="M1724">
        <v>30</v>
      </c>
      <c r="N1724" s="6">
        <v>0</v>
      </c>
      <c r="Q1724" s="2" t="s">
        <v>19</v>
      </c>
    </row>
    <row r="1725" spans="1:17" ht="68" x14ac:dyDescent="0.2">
      <c r="A1725" t="s">
        <v>189</v>
      </c>
      <c r="B1725" t="s">
        <v>140</v>
      </c>
      <c r="C1725" t="s">
        <v>16</v>
      </c>
      <c r="D1725" s="3">
        <v>44354</v>
      </c>
      <c r="E1725" s="1">
        <v>44354.643171296295</v>
      </c>
      <c r="F1725" t="s">
        <v>17</v>
      </c>
      <c r="G1725" t="s">
        <v>79</v>
      </c>
      <c r="H1725" s="1">
        <v>44354.530555555553</v>
      </c>
      <c r="I1725" s="1">
        <v>44354.645833333336</v>
      </c>
      <c r="J1725" s="4">
        <f t="shared" si="26"/>
        <v>0.11527777778246673</v>
      </c>
      <c r="K1725" t="s">
        <v>200</v>
      </c>
      <c r="M1725">
        <v>13</v>
      </c>
      <c r="N1725" s="6">
        <v>0</v>
      </c>
      <c r="Q1725" s="2" t="s">
        <v>19</v>
      </c>
    </row>
    <row r="1726" spans="1:17" ht="68" x14ac:dyDescent="0.2">
      <c r="A1726" t="s">
        <v>189</v>
      </c>
      <c r="B1726" t="s">
        <v>140</v>
      </c>
      <c r="C1726" t="s">
        <v>16</v>
      </c>
      <c r="D1726" s="3">
        <v>44355</v>
      </c>
      <c r="E1726" s="1">
        <v>44355.487939814811</v>
      </c>
      <c r="F1726" t="s">
        <v>17</v>
      </c>
      <c r="G1726" t="s">
        <v>80</v>
      </c>
      <c r="H1726" s="1">
        <v>44355.375</v>
      </c>
      <c r="I1726" s="1">
        <v>44355.489583333336</v>
      </c>
      <c r="J1726" s="4">
        <f t="shared" si="26"/>
        <v>0.11458333333575865</v>
      </c>
      <c r="K1726" t="s">
        <v>216</v>
      </c>
      <c r="M1726">
        <v>5</v>
      </c>
      <c r="N1726" s="6">
        <v>0</v>
      </c>
      <c r="Q1726" s="2" t="s">
        <v>19</v>
      </c>
    </row>
    <row r="1727" spans="1:17" ht="68" x14ac:dyDescent="0.2">
      <c r="A1727" t="s">
        <v>189</v>
      </c>
      <c r="B1727" t="s">
        <v>140</v>
      </c>
      <c r="C1727" t="s">
        <v>16</v>
      </c>
      <c r="D1727" s="3">
        <v>44355</v>
      </c>
      <c r="E1727" s="1">
        <v>44355.662673611114</v>
      </c>
      <c r="F1727" t="s">
        <v>17</v>
      </c>
      <c r="G1727" t="s">
        <v>48</v>
      </c>
      <c r="H1727" s="1">
        <v>44355.541666666664</v>
      </c>
      <c r="I1727" s="1">
        <v>44355.666666666664</v>
      </c>
      <c r="J1727" s="4">
        <f t="shared" si="26"/>
        <v>0.125</v>
      </c>
      <c r="K1727" t="s">
        <v>192</v>
      </c>
      <c r="M1727">
        <v>28</v>
      </c>
      <c r="N1727" s="6">
        <v>0</v>
      </c>
      <c r="Q1727" s="2" t="s">
        <v>19</v>
      </c>
    </row>
    <row r="1728" spans="1:17" ht="68" x14ac:dyDescent="0.2">
      <c r="A1728" t="s">
        <v>189</v>
      </c>
      <c r="B1728" t="s">
        <v>140</v>
      </c>
      <c r="C1728" t="s">
        <v>16</v>
      </c>
      <c r="D1728" s="3">
        <v>44356</v>
      </c>
      <c r="E1728" s="1">
        <v>44356.485069444447</v>
      </c>
      <c r="F1728" t="s">
        <v>17</v>
      </c>
      <c r="G1728" t="s">
        <v>78</v>
      </c>
      <c r="H1728" s="1">
        <v>44356.375</v>
      </c>
      <c r="I1728" s="1">
        <v>44356.489583333336</v>
      </c>
      <c r="J1728" s="4">
        <f t="shared" si="26"/>
        <v>0.11458333333575865</v>
      </c>
      <c r="K1728" t="s">
        <v>197</v>
      </c>
      <c r="M1728">
        <v>8</v>
      </c>
      <c r="N1728" s="6">
        <v>0</v>
      </c>
      <c r="Q1728" s="2" t="s">
        <v>19</v>
      </c>
    </row>
    <row r="1729" spans="1:17" ht="68" x14ac:dyDescent="0.2">
      <c r="A1729" t="s">
        <v>189</v>
      </c>
      <c r="B1729" t="s">
        <v>140</v>
      </c>
      <c r="C1729" t="s">
        <v>16</v>
      </c>
      <c r="D1729" s="3">
        <v>44356</v>
      </c>
      <c r="E1729" s="1">
        <v>44356.549525462964</v>
      </c>
      <c r="F1729" t="s">
        <v>17</v>
      </c>
      <c r="G1729" t="s">
        <v>58</v>
      </c>
      <c r="H1729" s="1">
        <v>44356.54791666667</v>
      </c>
      <c r="I1729" s="1">
        <v>44356.666666666664</v>
      </c>
      <c r="J1729" s="4">
        <f t="shared" si="26"/>
        <v>0.11874999999417923</v>
      </c>
      <c r="K1729" t="s">
        <v>200</v>
      </c>
      <c r="M1729">
        <v>15</v>
      </c>
      <c r="N1729" s="6">
        <v>0</v>
      </c>
      <c r="Q1729" s="2" t="s">
        <v>19</v>
      </c>
    </row>
    <row r="1730" spans="1:17" ht="68" x14ac:dyDescent="0.2">
      <c r="A1730" t="s">
        <v>189</v>
      </c>
      <c r="B1730" t="s">
        <v>140</v>
      </c>
      <c r="C1730" t="s">
        <v>16</v>
      </c>
      <c r="D1730" s="3">
        <v>44358</v>
      </c>
      <c r="E1730" s="1">
        <v>44358.489722222221</v>
      </c>
      <c r="F1730" t="s">
        <v>17</v>
      </c>
      <c r="G1730" t="s">
        <v>53</v>
      </c>
      <c r="H1730" s="1">
        <v>44358.375</v>
      </c>
      <c r="I1730" s="1">
        <v>44358.489583333336</v>
      </c>
      <c r="J1730" s="4">
        <f t="shared" si="26"/>
        <v>0.11458333333575865</v>
      </c>
      <c r="K1730" t="s">
        <v>199</v>
      </c>
      <c r="M1730">
        <v>4</v>
      </c>
      <c r="N1730" s="6">
        <v>0</v>
      </c>
      <c r="Q1730" s="2" t="s">
        <v>19</v>
      </c>
    </row>
    <row r="1731" spans="1:17" ht="68" x14ac:dyDescent="0.2">
      <c r="A1731" t="s">
        <v>189</v>
      </c>
      <c r="B1731" t="s">
        <v>140</v>
      </c>
      <c r="C1731" t="s">
        <v>16</v>
      </c>
      <c r="D1731" s="3">
        <v>44358</v>
      </c>
      <c r="E1731" s="1">
        <v>44358.644305555557</v>
      </c>
      <c r="F1731" t="s">
        <v>17</v>
      </c>
      <c r="G1731" t="s">
        <v>82</v>
      </c>
      <c r="H1731" s="1">
        <v>44358.53125</v>
      </c>
      <c r="I1731" s="1">
        <v>44358.645833333336</v>
      </c>
      <c r="J1731" s="4">
        <f t="shared" ref="J1731:J1740" si="27">IF($I1731="","",$I1731-$H1731)</f>
        <v>0.11458333333575865</v>
      </c>
      <c r="K1731" t="s">
        <v>200</v>
      </c>
      <c r="M1731">
        <v>5</v>
      </c>
      <c r="N1731" s="6">
        <v>0</v>
      </c>
      <c r="Q1731" s="2" t="s">
        <v>19</v>
      </c>
    </row>
    <row r="1732" spans="1:17" ht="68" x14ac:dyDescent="0.2">
      <c r="A1732" t="s">
        <v>189</v>
      </c>
      <c r="B1732" t="s">
        <v>140</v>
      </c>
      <c r="C1732" t="s">
        <v>16</v>
      </c>
      <c r="D1732" s="3">
        <v>44361</v>
      </c>
      <c r="E1732" s="1">
        <v>44361.487430555557</v>
      </c>
      <c r="F1732" t="s">
        <v>17</v>
      </c>
      <c r="G1732" t="s">
        <v>46</v>
      </c>
      <c r="H1732" s="1">
        <v>44361.375</v>
      </c>
      <c r="I1732" s="1">
        <v>44361.489583333336</v>
      </c>
      <c r="J1732" s="4">
        <f t="shared" si="27"/>
        <v>0.11458333333575865</v>
      </c>
      <c r="K1732" t="s">
        <v>199</v>
      </c>
      <c r="M1732">
        <v>8</v>
      </c>
      <c r="N1732" s="6">
        <v>0</v>
      </c>
      <c r="Q1732" s="2" t="s">
        <v>19</v>
      </c>
    </row>
    <row r="1733" spans="1:17" ht="68" x14ac:dyDescent="0.2">
      <c r="A1733" t="s">
        <v>189</v>
      </c>
      <c r="B1733" t="s">
        <v>140</v>
      </c>
      <c r="C1733" t="s">
        <v>16</v>
      </c>
      <c r="D1733" s="3">
        <v>44361</v>
      </c>
      <c r="E1733" s="1">
        <v>44361.630300925928</v>
      </c>
      <c r="F1733" t="s">
        <v>17</v>
      </c>
      <c r="G1733" t="s">
        <v>35</v>
      </c>
      <c r="H1733" s="1">
        <v>44361.537499999999</v>
      </c>
      <c r="I1733" s="1">
        <v>44361.645833333336</v>
      </c>
      <c r="J1733" s="4">
        <f t="shared" si="27"/>
        <v>0.10833333333721384</v>
      </c>
      <c r="K1733" t="s">
        <v>200</v>
      </c>
      <c r="M1733">
        <v>3</v>
      </c>
      <c r="N1733" s="6">
        <v>0</v>
      </c>
      <c r="Q1733" s="2" t="s">
        <v>19</v>
      </c>
    </row>
    <row r="1734" spans="1:17" ht="68" x14ac:dyDescent="0.2">
      <c r="A1734" t="s">
        <v>189</v>
      </c>
      <c r="B1734" t="s">
        <v>140</v>
      </c>
      <c r="C1734" t="s">
        <v>16</v>
      </c>
      <c r="D1734" s="3">
        <v>44361</v>
      </c>
      <c r="E1734" s="1">
        <v>44361.644016203703</v>
      </c>
      <c r="F1734" t="s">
        <v>17</v>
      </c>
      <c r="G1734" t="s">
        <v>35</v>
      </c>
      <c r="H1734" s="1">
        <v>44361.537499999999</v>
      </c>
      <c r="I1734" s="1">
        <v>44361.645833333336</v>
      </c>
      <c r="J1734" s="4">
        <f t="shared" si="27"/>
        <v>0.10833333333721384</v>
      </c>
      <c r="K1734" t="s">
        <v>200</v>
      </c>
      <c r="M1734">
        <v>0</v>
      </c>
      <c r="N1734" s="6">
        <v>0</v>
      </c>
      <c r="Q1734" s="2" t="s">
        <v>19</v>
      </c>
    </row>
    <row r="1735" spans="1:17" ht="68" x14ac:dyDescent="0.2">
      <c r="A1735" t="s">
        <v>189</v>
      </c>
      <c r="B1735" t="s">
        <v>140</v>
      </c>
      <c r="C1735" t="s">
        <v>16</v>
      </c>
      <c r="D1735" s="3">
        <v>44361</v>
      </c>
      <c r="E1735" s="1">
        <v>44361.65048611111</v>
      </c>
      <c r="F1735" t="s">
        <v>17</v>
      </c>
      <c r="G1735" t="s">
        <v>111</v>
      </c>
      <c r="H1735" s="1">
        <v>44361.649305555555</v>
      </c>
      <c r="I1735" s="1">
        <v>44361.670138888891</v>
      </c>
      <c r="J1735" s="4">
        <f t="shared" si="27"/>
        <v>2.0833333335758653E-2</v>
      </c>
      <c r="K1735" t="s">
        <v>220</v>
      </c>
      <c r="M1735">
        <v>3</v>
      </c>
      <c r="N1735" s="6">
        <v>0</v>
      </c>
      <c r="Q1735" s="2" t="s">
        <v>19</v>
      </c>
    </row>
    <row r="1736" spans="1:17" ht="68" x14ac:dyDescent="0.2">
      <c r="A1736" t="s">
        <v>189</v>
      </c>
      <c r="B1736" t="s">
        <v>140</v>
      </c>
      <c r="C1736" t="s">
        <v>16</v>
      </c>
      <c r="D1736" s="3">
        <v>44363</v>
      </c>
      <c r="E1736" s="1">
        <v>44363.663090277776</v>
      </c>
      <c r="F1736" t="s">
        <v>17</v>
      </c>
      <c r="G1736" t="s">
        <v>79</v>
      </c>
      <c r="H1736" s="1">
        <v>44363.53125</v>
      </c>
      <c r="I1736" s="1">
        <v>44363.666666666664</v>
      </c>
      <c r="J1736" s="4">
        <f t="shared" si="27"/>
        <v>0.13541666666424135</v>
      </c>
      <c r="K1736" t="s">
        <v>200</v>
      </c>
      <c r="M1736">
        <v>45</v>
      </c>
      <c r="N1736" s="6">
        <v>0</v>
      </c>
      <c r="Q1736" s="2" t="s">
        <v>19</v>
      </c>
    </row>
    <row r="1737" spans="1:17" ht="68" x14ac:dyDescent="0.2">
      <c r="A1737" t="s">
        <v>189</v>
      </c>
      <c r="B1737" t="s">
        <v>140</v>
      </c>
      <c r="C1737" t="s">
        <v>16</v>
      </c>
      <c r="D1737" s="3">
        <v>44364</v>
      </c>
      <c r="E1737" s="1">
        <v>44364.491932870369</v>
      </c>
      <c r="F1737" t="s">
        <v>17</v>
      </c>
      <c r="G1737" t="s">
        <v>77</v>
      </c>
      <c r="H1737" s="1">
        <v>44364.333333333336</v>
      </c>
      <c r="I1737" s="1">
        <v>44364.479166666664</v>
      </c>
      <c r="J1737" s="4">
        <f t="shared" si="27"/>
        <v>0.14583333332848269</v>
      </c>
      <c r="K1737" t="s">
        <v>217</v>
      </c>
      <c r="M1737">
        <v>3</v>
      </c>
      <c r="N1737" s="6">
        <v>0</v>
      </c>
      <c r="Q1737" s="2" t="s">
        <v>19</v>
      </c>
    </row>
    <row r="1738" spans="1:17" ht="68" x14ac:dyDescent="0.2">
      <c r="A1738" t="s">
        <v>189</v>
      </c>
      <c r="B1738" t="s">
        <v>140</v>
      </c>
      <c r="C1738" t="s">
        <v>16</v>
      </c>
      <c r="D1738" s="3">
        <v>44365</v>
      </c>
      <c r="E1738" s="1">
        <v>44365.490752314814</v>
      </c>
      <c r="F1738" t="s">
        <v>17</v>
      </c>
      <c r="G1738" t="s">
        <v>64</v>
      </c>
      <c r="H1738" s="1">
        <v>44365.375</v>
      </c>
      <c r="I1738" s="1">
        <v>44365.489583333336</v>
      </c>
      <c r="J1738" s="4">
        <f t="shared" si="27"/>
        <v>0.11458333333575865</v>
      </c>
      <c r="K1738" t="s">
        <v>218</v>
      </c>
      <c r="M1738">
        <v>4</v>
      </c>
      <c r="N1738" s="6">
        <v>0</v>
      </c>
      <c r="Q1738" s="2" t="s">
        <v>19</v>
      </c>
    </row>
    <row r="1739" spans="1:17" ht="68" x14ac:dyDescent="0.2">
      <c r="A1739" t="s">
        <v>189</v>
      </c>
      <c r="B1739" t="s">
        <v>140</v>
      </c>
      <c r="C1739" t="s">
        <v>16</v>
      </c>
      <c r="D1739" s="3">
        <v>44365</v>
      </c>
      <c r="E1739" s="1">
        <v>44365.658692129633</v>
      </c>
      <c r="F1739" t="s">
        <v>17</v>
      </c>
      <c r="G1739" t="s">
        <v>83</v>
      </c>
      <c r="H1739" s="1">
        <v>44365.53125</v>
      </c>
      <c r="I1739" s="1">
        <v>44365.666666666664</v>
      </c>
      <c r="J1739" s="4">
        <f t="shared" si="27"/>
        <v>0.13541666666424135</v>
      </c>
      <c r="K1739" t="s">
        <v>217</v>
      </c>
      <c r="M1739">
        <v>5</v>
      </c>
      <c r="N1739" s="6">
        <v>0</v>
      </c>
      <c r="Q1739" s="2" t="s">
        <v>19</v>
      </c>
    </row>
    <row r="1740" spans="1:17" ht="68" x14ac:dyDescent="0.2">
      <c r="A1740" t="s">
        <v>189</v>
      </c>
      <c r="B1740" t="s">
        <v>140</v>
      </c>
      <c r="C1740" t="s">
        <v>16</v>
      </c>
      <c r="D1740" s="3">
        <v>44375</v>
      </c>
      <c r="E1740" s="1">
        <v>44375.669525462959</v>
      </c>
      <c r="F1740" t="s">
        <v>17</v>
      </c>
      <c r="G1740" t="s">
        <v>84</v>
      </c>
      <c r="H1740" s="1">
        <v>44375.539583333331</v>
      </c>
      <c r="I1740" s="1">
        <v>44375.669444444444</v>
      </c>
      <c r="J1740" s="4">
        <f t="shared" si="27"/>
        <v>0.12986111111240461</v>
      </c>
      <c r="K1740" t="s">
        <v>213</v>
      </c>
      <c r="M1740">
        <v>0</v>
      </c>
      <c r="N1740" s="5" t="s">
        <v>144</v>
      </c>
      <c r="Q1740" s="2" t="s">
        <v>19</v>
      </c>
    </row>
  </sheetData>
  <autoFilter ref="A1:Q1740" xr:uid="{00000000-0009-0000-0000-000002000000}"/>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Home</vt:lpstr>
      <vt:lpstr>Combined BX Graphs</vt:lpstr>
      <vt:lpstr>RawData</vt:lpstr>
      <vt:lpstr>RawData!Criteria</vt:lpstr>
      <vt:lpstr>Dates</vt:lpstr>
      <vt:lpstr>Duration</vt:lpstr>
      <vt:lpstr>RawData!Extract</vt:lpstr>
      <vt:lpstr>Fourth</vt:lpstr>
      <vt:lpstr>Frequency</vt:lpstr>
      <vt:lpstr>RawBehavior</vt:lpstr>
      <vt:lpstr>RawDataSet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Bryant</dc:creator>
  <cp:lastModifiedBy>Jonathan Bryant</cp:lastModifiedBy>
  <dcterms:created xsi:type="dcterms:W3CDTF">2021-06-29T20:31:18Z</dcterms:created>
  <dcterms:modified xsi:type="dcterms:W3CDTF">2022-04-27T17:50:50Z</dcterms:modified>
</cp:coreProperties>
</file>